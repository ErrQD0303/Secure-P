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E:\Udemy\React-Repos\Secure-P\"/>
    </mc:Choice>
  </mc:AlternateContent>
  <xr:revisionPtr revIDLastSave="0" documentId="13_ncr:1_{4A33AA6B-4FE2-4AEA-BBB0-DE633DE3F640}" xr6:coauthVersionLast="47" xr6:coauthVersionMax="47" xr10:uidLastSave="{00000000-0000-0000-0000-000000000000}"/>
  <bookViews>
    <workbookView xWindow="-108" yWindow="-108" windowWidth="23256" windowHeight="13176" xr2:uid="{3F316138-FBCB-4AB0-A53F-8B4C65CD3DF0}"/>
  </bookViews>
  <sheets>
    <sheet name="Frontend-Planning" sheetId="1" r:id="rId1"/>
    <sheet name="Database-Planning" sheetId="8" r:id="rId2"/>
    <sheet name="Backend-Planning" sheetId="10" r:id="rId3"/>
    <sheet name="Project-Team" sheetId="2" r:id="rId4"/>
    <sheet name="Project-Budgets" sheetId="4" r:id="rId5"/>
    <sheet name="Project-Risks" sheetId="3" r:id="rId6"/>
    <sheet name="Project-Deliverables" sheetId="5" r:id="rId7"/>
    <sheet name="Communication-Plan" sheetId="6" r:id="rId8"/>
    <sheet name="Project Evaluation"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1" l="1"/>
  <c r="E29" i="1"/>
  <c r="E30" i="1"/>
  <c r="F30" i="1" s="1"/>
  <c r="E31" i="1"/>
  <c r="E32" i="1"/>
  <c r="E33" i="1"/>
  <c r="F33" i="1" s="1"/>
  <c r="E34" i="1"/>
  <c r="F34" i="1" s="1"/>
  <c r="E35" i="1"/>
  <c r="F35" i="1" s="1"/>
  <c r="E36" i="1"/>
  <c r="F36" i="1" s="1"/>
  <c r="E37" i="1"/>
  <c r="F37" i="1" s="1"/>
  <c r="E38" i="1"/>
  <c r="E39" i="1"/>
  <c r="E40" i="1"/>
  <c r="F40" i="1" s="1"/>
  <c r="E41" i="1"/>
  <c r="F41" i="1" s="1"/>
  <c r="E42" i="1"/>
  <c r="F42" i="1" s="1"/>
  <c r="E27" i="1"/>
  <c r="E26" i="1"/>
  <c r="F28" i="1"/>
  <c r="E25" i="1"/>
  <c r="E23" i="1"/>
  <c r="E22" i="1"/>
  <c r="E24" i="1"/>
  <c r="F76" i="1"/>
  <c r="F77" i="1"/>
  <c r="F78" i="1"/>
  <c r="F79" i="1"/>
  <c r="C79" i="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76" i="1"/>
  <c r="C77" i="1"/>
  <c r="C78" i="1"/>
  <c r="F74" i="1"/>
  <c r="F75" i="1"/>
  <c r="C74" i="1"/>
  <c r="C75"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F31" i="1"/>
  <c r="F32" i="1"/>
  <c r="F38" i="1"/>
  <c r="F39"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C3" i="1"/>
  <c r="C4" i="1"/>
  <c r="C5" i="1"/>
  <c r="C6" i="1"/>
  <c r="C7" i="1"/>
  <c r="C8" i="1"/>
  <c r="C9" i="1"/>
  <c r="C10" i="1"/>
  <c r="C11" i="1"/>
  <c r="C12" i="1"/>
  <c r="C13" i="1"/>
  <c r="C14" i="1"/>
  <c r="C15" i="1"/>
  <c r="C16" i="1"/>
  <c r="C17" i="1"/>
  <c r="C18" i="1"/>
  <c r="C19" i="1"/>
  <c r="C2" i="1"/>
  <c r="F50" i="10"/>
  <c r="F14" i="8"/>
  <c r="C14" i="8"/>
  <c r="F2" i="10"/>
  <c r="C2" i="10"/>
  <c r="C12" i="8"/>
  <c r="C13" i="8"/>
  <c r="C3" i="8"/>
  <c r="F3" i="8"/>
  <c r="C4" i="8"/>
  <c r="C5" i="8"/>
  <c r="C6" i="8"/>
  <c r="C7" i="8"/>
  <c r="C8" i="8"/>
  <c r="C9" i="8"/>
  <c r="C10" i="8"/>
  <c r="C11" i="8"/>
  <c r="C2" i="8"/>
  <c r="F13" i="8"/>
  <c r="F12" i="8"/>
  <c r="F11" i="8"/>
  <c r="F10" i="8"/>
  <c r="F9" i="8"/>
  <c r="F8" i="8"/>
  <c r="F7" i="8"/>
  <c r="F6" i="8"/>
  <c r="F5" i="8"/>
  <c r="F4" i="8"/>
  <c r="F2" i="8"/>
  <c r="F29" i="1"/>
  <c r="F10" i="1"/>
  <c r="F11" i="1"/>
  <c r="F12" i="1"/>
  <c r="F13" i="1"/>
  <c r="F14" i="1"/>
  <c r="F15" i="1"/>
  <c r="F16" i="1"/>
  <c r="F17" i="1"/>
  <c r="F18" i="1"/>
  <c r="F19" i="1"/>
  <c r="F20" i="1"/>
  <c r="F21" i="1"/>
  <c r="F22" i="1"/>
  <c r="F23" i="1"/>
  <c r="F24" i="1"/>
  <c r="F25" i="1"/>
  <c r="F26" i="1"/>
  <c r="F27" i="1"/>
  <c r="F4" i="1"/>
  <c r="F5" i="1"/>
  <c r="F6" i="1"/>
  <c r="F7" i="1"/>
  <c r="F8" i="1"/>
  <c r="F9" i="1"/>
  <c r="F3" i="1"/>
  <c r="F2" i="1"/>
</calcChain>
</file>

<file path=xl/sharedStrings.xml><?xml version="1.0" encoding="utf-8"?>
<sst xmlns="http://schemas.openxmlformats.org/spreadsheetml/2006/main" count="420" uniqueCount="180">
  <si>
    <t>STT</t>
  </si>
  <si>
    <t>Xác định mục đích của website</t>
  </si>
  <si>
    <t>Map các trang lại với nhau bằng React Router</t>
  </si>
  <si>
    <t>Tối ưu hóa trang payment</t>
  </si>
  <si>
    <t>Tối ưu hóa responsive trang add new</t>
  </si>
  <si>
    <t>Tối ưu hóa responsive trang help</t>
  </si>
  <si>
    <t>Tối ưu hóa responsive trang profile</t>
  </si>
  <si>
    <t>Áp dụng Lazy Loading cho các page</t>
  </si>
  <si>
    <t>Nối các trang lại với nhau</t>
  </si>
  <si>
    <t>Gắn các state lại với nhau</t>
  </si>
  <si>
    <t>Sử dụng JSON server để đẩy dữ liệu template lên</t>
  </si>
  <si>
    <t>Task</t>
  </si>
  <si>
    <t>Start Date</t>
  </si>
  <si>
    <t>Status</t>
  </si>
  <si>
    <t>Responsible</t>
  </si>
  <si>
    <t xml:space="preserve">Name </t>
  </si>
  <si>
    <t>Role</t>
  </si>
  <si>
    <t>Nguyễn Quốc Đạt</t>
  </si>
  <si>
    <t>Project Manager</t>
  </si>
  <si>
    <t>FrontEnd Developer</t>
  </si>
  <si>
    <t>BackEnd Developer</t>
  </si>
  <si>
    <t>Web Designer</t>
  </si>
  <si>
    <t>Marketing Manager</t>
  </si>
  <si>
    <t>None</t>
  </si>
  <si>
    <t>Item</t>
  </si>
  <si>
    <t>Cost</t>
  </si>
  <si>
    <t>Risk</t>
  </si>
  <si>
    <t>Probability</t>
  </si>
  <si>
    <t>Impact</t>
  </si>
  <si>
    <t>Mitigation Strategy</t>
  </si>
  <si>
    <t>Delayed Product Sourcing</t>
  </si>
  <si>
    <t>High</t>
  </si>
  <si>
    <t>Delayed Launch</t>
  </si>
  <si>
    <t>Technical Issues</t>
  </si>
  <si>
    <t>Medium</t>
  </si>
  <si>
    <t>Website Downtime</t>
  </si>
  <si>
    <t>Implement robust testing and have a backup plan</t>
  </si>
  <si>
    <t>NO</t>
  </si>
  <si>
    <t>Diversify parking slot suppliers and establish contingency plans</t>
  </si>
  <si>
    <t>Low Conversion Rates</t>
  </si>
  <si>
    <t>Reduced Sales</t>
  </si>
  <si>
    <t>Optimize website usability through User Experiences and conduct A/B Testing</t>
  </si>
  <si>
    <t>Deliverable</t>
  </si>
  <si>
    <t>Due Date</t>
  </si>
  <si>
    <t>Owner</t>
  </si>
  <si>
    <t>Time Taken (hour)</t>
  </si>
  <si>
    <t>Duration (Day)</t>
  </si>
  <si>
    <t xml:space="preserve">  </t>
  </si>
  <si>
    <t>Demo FrontEnd Website</t>
  </si>
  <si>
    <t>Xác định yêu cầu dữ liệu</t>
  </si>
  <si>
    <t>Xác định các bảng thành phần</t>
  </si>
  <si>
    <t>Offset</t>
  </si>
  <si>
    <t>Xác định yêu cầu bảo mật</t>
  </si>
  <si>
    <t>Xác định yêu cầu về hiệu năng</t>
  </si>
  <si>
    <t>Xác định các trường của bảng thành phần</t>
  </si>
  <si>
    <t>Xác định các khóa chính, khóa ngoại của mỗi bảng</t>
  </si>
  <si>
    <t>Xác định các mối quan hệ giữa các bảng</t>
  </si>
  <si>
    <t>Chuẩn hóa dữ liệu để giảm dư thừa</t>
  </si>
  <si>
    <t>Xây dựng biểu đồ ERD</t>
  </si>
  <si>
    <t>Thiết kế các bảng trong database để giống với các bảng trong ERD</t>
  </si>
  <si>
    <t>Chọn database engine để tạo database và lưu trữ</t>
  </si>
  <si>
    <t>Sử dụng Entity Framework để tạo ra các bảng này</t>
  </si>
  <si>
    <t>Xác định các bảng cần tạo</t>
  </si>
  <si>
    <t>Xác định các trường của mỗi bảng</t>
  </si>
  <si>
    <t>Xác định kích thước của database</t>
  </si>
  <si>
    <t>Đưa website lên các docker container</t>
  </si>
  <si>
    <t>Chọn dịch vụ host để deploy website</t>
  </si>
  <si>
    <t>Chỉ ra các thiết lập môi trường cần thiết để triển khai website lên dịch vụ host đã chọn</t>
  </si>
  <si>
    <t>Tối ưu hóa các truy vấn xuống cơ sở dữ liệu</t>
  </si>
  <si>
    <t>Đánh index để tăng tốc độ truy xuất</t>
  </si>
  <si>
    <t>Tạo ra các API document (Swagger hay Postman Collection)</t>
  </si>
  <si>
    <t>Cài đặt NodeJS</t>
  </si>
  <si>
    <t>Cài đặt Node Package Manager (npm)</t>
  </si>
  <si>
    <t>Khởi tạo Redux để tạo state management cho project và đặt nó trong file store.js</t>
  </si>
  <si>
    <t>Tạo ra bản đồ sử dụng state, reducer giữa các pages của Website</t>
  </si>
  <si>
    <t>Tạo ra các action method, reducer và cấu hình store chứa các reducer</t>
  </si>
  <si>
    <t>Tích hợp store vào React</t>
  </si>
  <si>
    <t>Cài đặt Vite + React + TypeScript</t>
  </si>
  <si>
    <t>Cài đặt React, React Router Dom, ReduxJS/Toolkit (Normal and TypeScript Version)</t>
  </si>
  <si>
    <t>Tổ chức source code cho frontend(Thư mục public chứa các thông tin chung của website như logo (192 và 512), trang index.html, file manifest.jsons, favicon.ico)</t>
  </si>
  <si>
    <t>Cài đặt Extensions React Developer Tools cho Chrome</t>
  </si>
  <si>
    <t>Cài đặt Extensions Redux DevTool cho Chrome</t>
  </si>
  <si>
    <t>Phân tích các thành phần của website thành các pages dựa trên Figma</t>
  </si>
  <si>
    <t>Phân tích UI của mỗi page</t>
  </si>
  <si>
    <t>Đưa các component này vào State Management Schema để theo dõi flow của data</t>
  </si>
  <si>
    <t>Tổ chức source code(Thư mục src chứa các thư mục con như Components, Contexts, Helpers (hay Utils cho các function phụ hỗ trợ), Models(Chứa các model hỗ được hỗ trợ kiểm tra bởi TypeScript), Pages, Routes, Services (Reusable code cho việc tương tác với API)</t>
  </si>
  <si>
    <t>Trong thư mục src, tạo thư mục "components" để chứa các UI components được tái sử dụng</t>
  </si>
  <si>
    <t>Trong thư mục src, tạo thư mục "assets" để chứa các file tĩnh như images, fonts và các icons</t>
  </si>
  <si>
    <t>Trong thư mục src, tạo thư mục "features" để chứa các feature, trong mỗi thư mục feature chứa các logic, component, styles, services chỉ thuộc về feature đó</t>
  </si>
  <si>
    <t>Trong thư mục src, tạo thư mục "hooks" để chứa các custom hooks để tái sử dụng các logic trong ứng dụng</t>
  </si>
  <si>
    <t>Trong thư mục src, tạo thư mục "layouts" để chứa các các component bao xung quanh nội dung chính trên page như Header, Footer và Sidebar</t>
  </si>
  <si>
    <t>Trong thư mục src, tạo thư mục "pages" để chứa các page components và các css của chúng</t>
  </si>
  <si>
    <t>Trong thư mục src, tạo thư mục "services" để chứa các file typescript thực hiện API call và các business logic sử dụng các dữ liệu từ các nguồn ngoài ví dụ như api data từ backend</t>
  </si>
  <si>
    <t>Trong thư mục src, tạo thư mục "store" để chứa các file slices, action function, và store để quản lý các global state</t>
  </si>
  <si>
    <t>Trong thư mục src, tạo thư mục "styles" để chứa các global style file và các style file tái sử dụng, bao gồm các file cấu hình Tailwind, SCSS file</t>
  </si>
  <si>
    <t>Trong thư mục src, tạo thư mục "types" để chứa các định nghĩa type, interfaces hay enums của TypeScript</t>
  </si>
  <si>
    <t>Thư mục src chứa các tập tin như App.tsx, index.tsx</t>
  </si>
  <si>
    <t>Chọn plugin để transform css: sass cho việc triển khai thông qua file scss</t>
  </si>
  <si>
    <t>Chọn plugin để transform css: postcss làm môi trường để sử dụng các plugin transform css</t>
  </si>
  <si>
    <t>Kết hợp với backend API để lấy data</t>
  </si>
  <si>
    <t>Tạo thư mục Controllers để chứa các Controllers</t>
  </si>
  <si>
    <t>Tạo thư mục Services chứa các Services cung cấp cho các Controllers</t>
  </si>
  <si>
    <t>Tạo thư mục Interfaces chứa các Interfaces của dự án</t>
  </si>
  <si>
    <t>Tạo thư mục Repositories để chứa các lớp Repository</t>
  </si>
  <si>
    <t>Tạo thư mục Data để chứa UnitOfWork hay ApplicationDbContext</t>
  </si>
  <si>
    <t>Tạo thư mục DataAnnotations để chứa các user-defined data annotation</t>
  </si>
  <si>
    <t>Tạo thư mục Filters để chứa các Filter</t>
  </si>
  <si>
    <t>Tạo thư mục Dtos để chứa các Dtos</t>
  </si>
  <si>
    <t>Tạo thư mục Enums để chứa các Enums</t>
  </si>
  <si>
    <t>Tạo thư mục Extensions để chứa các Extension Method</t>
  </si>
  <si>
    <t>Tạo thư Mục Helpers để chứa các hàm hỗ trợ</t>
  </si>
  <si>
    <t>Tạo thư mục Mappers để chứa các extension method để map Dto sang các Model hoặc ngược lại</t>
  </si>
  <si>
    <t>Tạo thư mục Models để chứa các application Models</t>
  </si>
  <si>
    <t>Build Frontend Framework: React + TypeScript</t>
  </si>
  <si>
    <t>Build công nghệ để triển khai client-side routing: React Router</t>
  </si>
  <si>
    <t>Build Global UI State Management's tool: ReduxJS/toolkit</t>
  </si>
  <si>
    <t>Build Remote State Management: React Router</t>
  </si>
  <si>
    <t>Build backend data fetching library: Axios</t>
  </si>
  <si>
    <t>Build build tool cho React: Vite</t>
  </si>
  <si>
    <t>kiến trúc để phát triển frontend: Single Page Application - Client Side Routing</t>
  </si>
  <si>
    <t>Build Authen/Author Mechanism</t>
  </si>
  <si>
    <t>Implement Sidebar</t>
  </si>
  <si>
    <t>Implement Header</t>
  </si>
  <si>
    <t>Implement trang payment</t>
  </si>
  <si>
    <t>Implement trang My subscription</t>
  </si>
  <si>
    <t>Implement trang add new</t>
  </si>
  <si>
    <t>Implement trang help</t>
  </si>
  <si>
    <t>Implement trang profile</t>
  </si>
  <si>
    <t>Implement responsive cho trang My subscription</t>
  </si>
  <si>
    <t>Implement responsive trang payment</t>
  </si>
  <si>
    <t>Implement responsive trang add new</t>
  </si>
  <si>
    <t>Implement responsive trang help</t>
  </si>
  <si>
    <t>Implement responsive trang profile</t>
  </si>
  <si>
    <t>Unit Testing for all components</t>
  </si>
  <si>
    <t>Demo FrontEnd Website after connecting with backend api</t>
  </si>
  <si>
    <t>Optimize Website's SEO</t>
  </si>
  <si>
    <t>Optimize Based on Website's LightHouse score</t>
  </si>
  <si>
    <t>Integrate With Google Analytics</t>
  </si>
  <si>
    <t>Priority</t>
  </si>
  <si>
    <t>Low</t>
  </si>
  <si>
    <t>Build Virtual Display Mechanism</t>
  </si>
  <si>
    <t xml:space="preserve">Integrate UI Control to Website: </t>
  </si>
  <si>
    <t>Implement Exception Handling Technique</t>
  </si>
  <si>
    <t>Prepare monolith architecture (Service Oriented Architecture)</t>
  </si>
  <si>
    <t>Organize backend source code's structure</t>
  </si>
  <si>
    <t>Use Design Pattern: Unit of Work, Repository, Dependency Injection, Inversion of Control, OOP</t>
  </si>
  <si>
    <t>Choose technology stack: .NET 8, MSSQL Server</t>
  </si>
  <si>
    <t>Choose ASPNET's template: ASPNETBoilerPlate (consists of plugins like Kestrel, Swagger and MSSQL Server Entity Framework core)</t>
  </si>
  <si>
    <t>Design api endpoints</t>
  </si>
  <si>
    <t>Design which methods each api endpoint will  use</t>
  </si>
  <si>
    <t>With each Http Method, which are the input parameters and output which will be responed back to the client which sended the request</t>
  </si>
  <si>
    <t>Design Service's interfaces</t>
  </si>
  <si>
    <t>Design Unit Of Work's interface</t>
  </si>
  <si>
    <t>Design Repository's interfaces</t>
  </si>
  <si>
    <t>Design Models</t>
  </si>
  <si>
    <t>Implement Repository Class</t>
  </si>
  <si>
    <t>Implement Unit of work class</t>
  </si>
  <si>
    <t>Implement Models</t>
  </si>
  <si>
    <t>Implement controllers</t>
  </si>
  <si>
    <t>Implement ORM (Object-Relational Mapper)</t>
  </si>
  <si>
    <t>Implement Services's classes</t>
  </si>
  <si>
    <t>Optimize's code</t>
  </si>
  <si>
    <t>Implement Form's Validation in Backend</t>
  </si>
  <si>
    <t>Implement Authentication</t>
  </si>
  <si>
    <t>Implement Authorization</t>
  </si>
  <si>
    <t>Implement 2 factor's Authentication</t>
  </si>
  <si>
    <t>Limit user's api usages</t>
  </si>
  <si>
    <t>Design Unit Test for project</t>
  </si>
  <si>
    <t>Implement project's Unit Test</t>
  </si>
  <si>
    <t>Build Layout Framework để phát triển responsive: Material UI</t>
  </si>
  <si>
    <t>Cấu hình font chữ cho Material UI</t>
  </si>
  <si>
    <t>Cấu hình spacing cho Material UI</t>
  </si>
  <si>
    <t>Import font chữ sẽ sử dụng vào project</t>
  </si>
  <si>
    <t>Cấu hình color sẽ sử dụng trong website cho project</t>
  </si>
  <si>
    <t>Cấu hình các break point của app để sử dụng với project</t>
  </si>
  <si>
    <t>Cài đặt Material UI</t>
  </si>
  <si>
    <t>Trong thư mục src, tạo thư mục "shared" để chứa các hàm tiện ích utility và các constant có thể được sử dụng trong ứng dụng</t>
  </si>
  <si>
    <t>Chọn các plugin transform css như nanocss, autoprefixer và postcss-nested để sử dụng cùng với postcss</t>
  </si>
  <si>
    <t>Tổ chức source code (Tại thư mục chính chứa các file như .gitignore, README.MD, tsconfig.json)</t>
  </si>
  <si>
    <t>Cấu hình Material UI thích hợp cho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</si>
</sst>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Aptos Narrow"/>
      <family val="2"/>
      <charset val="163"/>
      <scheme val="minor"/>
    </font>
    <font>
      <b/>
      <sz val="14"/>
      <color rgb="FF0F4761"/>
      <name val="Aptos Narrow"/>
      <family val="2"/>
      <scheme val="minor"/>
    </font>
    <font>
      <b/>
      <sz val="11"/>
      <color theme="1"/>
      <name val="Aptos Narrow"/>
      <family val="2"/>
      <scheme val="minor"/>
    </font>
    <font>
      <b/>
      <sz val="16"/>
      <color theme="1"/>
      <name val="Aptos Narrow"/>
      <family val="2"/>
      <scheme val="minor"/>
    </font>
    <font>
      <b/>
      <sz val="16"/>
      <color rgb="FF0F4761"/>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horizontal="center" vertical="center"/>
    </xf>
    <xf numFmtId="0" fontId="0" fillId="0" borderId="1" xfId="0" applyBorder="1"/>
    <xf numFmtId="0" fontId="1" fillId="2" borderId="1" xfId="0" applyFont="1" applyFill="1" applyBorder="1" applyAlignment="1">
      <alignment horizontal="center" vertical="center"/>
    </xf>
    <xf numFmtId="0" fontId="2" fillId="0" borderId="0" xfId="0" applyFont="1"/>
    <xf numFmtId="0" fontId="3" fillId="0" borderId="1" xfId="0" applyFont="1" applyBorder="1" applyAlignment="1">
      <alignment horizontal="center" vertical="center"/>
    </xf>
    <xf numFmtId="0" fontId="4" fillId="3" borderId="1" xfId="0" applyFont="1" applyFill="1" applyBorder="1" applyAlignment="1">
      <alignment horizontal="center" vertical="center"/>
    </xf>
    <xf numFmtId="14" fontId="2" fillId="0" borderId="1" xfId="0" applyNumberFormat="1" applyFont="1" applyBorder="1"/>
    <xf numFmtId="0" fontId="2" fillId="5" borderId="1" xfId="0" applyFont="1" applyFill="1" applyBorder="1"/>
    <xf numFmtId="0" fontId="0" fillId="4" borderId="1" xfId="0" applyFill="1" applyBorder="1"/>
    <xf numFmtId="14" fontId="2" fillId="4" borderId="1" xfId="0" applyNumberFormat="1" applyFont="1" applyFill="1" applyBorder="1"/>
    <xf numFmtId="0" fontId="0" fillId="4" borderId="0" xfId="0" applyFill="1"/>
    <xf numFmtId="14" fontId="0" fillId="0" borderId="0" xfId="0" applyNumberFormat="1"/>
    <xf numFmtId="14" fontId="0" fillId="0" borderId="1" xfId="0" applyNumberFormat="1" applyBorder="1"/>
    <xf numFmtId="0" fontId="2" fillId="0" borderId="1" xfId="0" applyFont="1" applyBorder="1"/>
    <xf numFmtId="0" fontId="4" fillId="3" borderId="0" xfId="0" applyFont="1" applyFill="1" applyAlignment="1">
      <alignment horizontal="center" vertical="center"/>
    </xf>
    <xf numFmtId="14" fontId="2" fillId="0" borderId="0" xfId="0" applyNumberFormat="1" applyFont="1"/>
    <xf numFmtId="0" fontId="2" fillId="5" borderId="0" xfId="0" applyFont="1" applyFill="1"/>
    <xf numFmtId="164" fontId="0" fillId="0" borderId="1" xfId="0" applyNumberFormat="1" applyBorder="1"/>
    <xf numFmtId="0" fontId="2" fillId="6" borderId="1" xfId="0" applyFont="1" applyFill="1" applyBorder="1"/>
    <xf numFmtId="0" fontId="2" fillId="6" borderId="1" xfId="0" applyFont="1" applyFill="1" applyBorder="1" applyAlignment="1">
      <alignment vertical="center"/>
    </xf>
    <xf numFmtId="0" fontId="2" fillId="7" borderId="1" xfId="0" applyFont="1" applyFill="1" applyBorder="1"/>
  </cellXfs>
  <cellStyles count="1">
    <cellStyle name="Normal" xfId="0" builtinId="0"/>
  </cellStyles>
  <dxfs count="0"/>
  <tableStyles count="0" defaultTableStyle="TableStyleMedium2" defaultPivotStyle="PivotStyleLight16"/>
  <colors>
    <mruColors>
      <color rgb="FF0F47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'Frontend-Planning'!$C$1</c:f>
              <c:strCache>
                <c:ptCount val="1"/>
                <c:pt idx="0">
                  <c:v>Start Date</c:v>
                </c:pt>
              </c:strCache>
            </c:strRef>
          </c:tx>
          <c:spPr>
            <a:noFill/>
            <a:ln>
              <a:solidFill>
                <a:schemeClr val="accent1"/>
              </a:solidFill>
            </a:ln>
            <a:effectLst/>
          </c:spPr>
          <c:invertIfNegative val="0"/>
          <c:cat>
            <c:strRef>
              <c:f>'Frontend-Planning'!$B$2:$B$79</c:f>
              <c:strCache>
                <c:ptCount val="78"/>
                <c:pt idx="0">
                  <c:v>Xác định mục đích của website</c:v>
                </c:pt>
                <c:pt idx="1">
                  <c:v>Phân tích các thành phần của website thành các pages dựa trên Figma</c:v>
                </c:pt>
                <c:pt idx="2">
                  <c:v>Phân tích UI của mỗi page</c:v>
                </c:pt>
                <c:pt idx="3">
                  <c:v>Đưa các component này vào State Management Schema để theo dõi flow của data</c:v>
                </c:pt>
                <c:pt idx="4">
                  <c:v>Build Frontend Framework: React + TypeScript</c:v>
                </c:pt>
                <c:pt idx="5">
                  <c:v>Build Layout Framework để phát triển responsive: Material UI</c:v>
                </c:pt>
                <c:pt idx="6">
                  <c:v>kiến trúc để phát triển frontend: Single Page Application - Client Side Routing</c:v>
                </c:pt>
                <c:pt idx="7">
                  <c:v>Build công nghệ để triển khai client-side routing: React Router</c:v>
                </c:pt>
                <c:pt idx="8">
                  <c:v>Build Global UI State Management's tool: ReduxJS/toolkit</c:v>
                </c:pt>
                <c:pt idx="9">
                  <c:v>Build Remote State Management: React Router</c:v>
                </c:pt>
                <c:pt idx="10">
                  <c:v>Build backend data fetching library: Axios</c:v>
                </c:pt>
                <c:pt idx="11">
                  <c:v>Build build tool cho React: Vite</c:v>
                </c:pt>
                <c:pt idx="12">
                  <c:v>Build Authen/Author Mechanism</c:v>
                </c:pt>
                <c:pt idx="13">
                  <c:v>Build Virtual Display Mechanism</c:v>
                </c:pt>
                <c:pt idx="14">
                  <c:v>Integrate UI Control to Website: </c:v>
                </c:pt>
                <c:pt idx="15">
                  <c:v>Cài đặt NodeJS</c:v>
                </c:pt>
                <c:pt idx="16">
                  <c:v>Cài đặt Node Package Manager (npm)</c:v>
                </c:pt>
                <c:pt idx="17">
                  <c:v>Cài đặt Vite + React + TypeScript</c:v>
                </c:pt>
                <c:pt idx="18">
                  <c:v>Cài đặt React, React Router Dom, ReduxJS/Toolkit (Normal and TypeScript Version)</c:v>
                </c:pt>
                <c:pt idx="19">
                  <c:v>Cài đặt Material UI</c:v>
                </c:pt>
                <c:pt idx="20">
                  <c:v>Import font chữ sẽ sử dụng vào project</c:v>
                </c:pt>
                <c:pt idx="21">
                  <c:v>Cấu hình các break point của app để sử dụng với project</c:v>
                </c:pt>
                <c:pt idx="22">
                  <c:v>Cấu hình font chữ cho Material UI</c:v>
                </c:pt>
                <c:pt idx="23">
                  <c:v>Cấu hình spacing cho Material UI</c:v>
                </c:pt>
                <c:pt idx="24">
                  <c:v>Cấu hình color sẽ sử dụng trong website cho project</c:v>
                </c:pt>
                <c:pt idx="25">
                  <c:v>Cấu hình Material UI thích hợp cho project</c:v>
                </c:pt>
                <c:pt idx="26">
                  <c:v>Tổ chức source code cho frontend(Thư mục public chứa các thông tin chung của website như logo (192 và 512), trang index.html, file manifest.jsons, favicon.ico)</c:v>
                </c:pt>
                <c:pt idx="27">
                  <c:v>Tổ chức source code(Thư mục src chứa các thư mục con như Components, Contexts, Helpers (hay Utils cho các function phụ hỗ trợ), Models(Chứa các model hỗ được hỗ trợ kiểm tra bởi TypeScript), Pages, Routes, Services (Reusable code cho việc tương tác với API</c:v>
                </c:pt>
                <c:pt idx="28">
                  <c:v>Trong thư mục src, tạo thư mục "assets" để chứa các file tĩnh như images, fonts và các icons</c:v>
                </c:pt>
                <c:pt idx="29">
                  <c:v>Trong thư mục src, tạo thư mục "components" để chứa các UI components được tái sử dụng</c:v>
                </c:pt>
                <c:pt idx="30">
                  <c:v>Trong thư mục src, tạo thư mục "features" để chứa các feature, trong mỗi thư mục feature chứa các logic, component, styles, services chỉ thuộc về feature đó</c:v>
                </c:pt>
                <c:pt idx="31">
                  <c:v>Trong thư mục src, tạo thư mục "hooks" để chứa các custom hooks để tái sử dụng các logic trong ứng dụng</c:v>
                </c:pt>
                <c:pt idx="32">
                  <c:v>Trong thư mục src, tạo thư mục "layouts" để chứa các các component bao xung quanh nội dung chính trên page như Header, Footer và Sidebar</c:v>
                </c:pt>
                <c:pt idx="33">
                  <c:v>Trong thư mục src, tạo thư mục "pages" để chứa các page components và các css của chúng</c:v>
                </c:pt>
                <c:pt idx="34">
                  <c:v>Trong thư mục src, tạo thư mục "services" để chứa các file typescript thực hiện API call và các business logic sử dụng các dữ liệu từ các nguồn ngoài ví dụ như api data từ backend</c:v>
                </c:pt>
                <c:pt idx="35">
                  <c:v>Trong thư mục src, tạo thư mục "store" để chứa các file slices, action function, và store để quản lý các global state</c:v>
                </c:pt>
                <c:pt idx="36">
                  <c:v>Trong thư mục src, tạo thư mục "styles" để chứa các global style file và các style file tái sử dụng, bao gồm các file cấu hình Tailwind, SCSS file</c:v>
                </c:pt>
                <c:pt idx="37">
                  <c:v>Trong thư mục src, tạo thư mục "shared" để chứa các hàm tiện ích utility và các constant có thể được sử dụng trong ứng dụng</c:v>
                </c:pt>
                <c:pt idx="38">
                  <c:v>Trong thư mục src, tạo thư mục "types" để chứa các định nghĩa type, interfaces hay enums của TypeScript</c:v>
                </c:pt>
                <c:pt idx="39">
                  <c:v>Thư mục src chứa các tập tin như App.tsx, index.tsx</c:v>
                </c:pt>
                <c:pt idx="40">
                  <c:v>Tổ chức source code (Tại thư mục chính chứa các file như .gitignore, README.MD, tsconfig.json)</c:v>
                </c:pt>
                <c:pt idx="41">
                  <c:v>Khởi tạo Redux để tạo state management cho project và đặt nó trong file store.js</c:v>
                </c:pt>
                <c:pt idx="42">
                  <c:v>Tạo ra bản đồ sử dụng state, reducer giữa các pages của Website</c:v>
                </c:pt>
                <c:pt idx="43">
                  <c:v>Chọn plugin để transform css: sass cho việc triển khai thông qua file scss</c:v>
                </c:pt>
                <c:pt idx="44">
                  <c:v>Chọn plugin để transform css: postcss làm môi trường để sử dụng các plugin transform css</c:v>
                </c:pt>
                <c:pt idx="45">
                  <c:v>Chọn các plugin transform css như nanocss, autoprefixer và postcss-nested để sử dụng cùng với postcss</c:v>
                </c:pt>
                <c:pt idx="46">
                  <c:v>Cài đặt Extensions React Developer Tools cho Chrome</c:v>
                </c:pt>
                <c:pt idx="47">
                  <c:v>Cài đặt Extensions Redux DevTool cho Chrome</c:v>
                </c:pt>
                <c:pt idx="48">
                  <c:v>Tích hợp store vào React</c:v>
                </c:pt>
                <c:pt idx="49">
                  <c:v>Tạo ra các action method, reducer và cấu hình store chứa các reducer</c:v>
                </c:pt>
                <c:pt idx="50">
                  <c:v>Implement Sidebar</c:v>
                </c:pt>
                <c:pt idx="51">
                  <c:v>Implement Header</c:v>
                </c:pt>
                <c:pt idx="52">
                  <c:v>Implement trang payment</c:v>
                </c:pt>
                <c:pt idx="53">
                  <c:v>Implement trang My subscription</c:v>
                </c:pt>
                <c:pt idx="54">
                  <c:v>Implement trang add new</c:v>
                </c:pt>
                <c:pt idx="55">
                  <c:v>Implement trang help</c:v>
                </c:pt>
                <c:pt idx="56">
                  <c:v>Implement trang profile</c:v>
                </c:pt>
                <c:pt idx="57">
                  <c:v>Implement responsive cho trang My subscription</c:v>
                </c:pt>
                <c:pt idx="58">
                  <c:v>Implement responsive trang payment</c:v>
                </c:pt>
                <c:pt idx="59">
                  <c:v>Implement responsive trang add new</c:v>
                </c:pt>
                <c:pt idx="60">
                  <c:v>Implement responsive trang help</c:v>
                </c:pt>
                <c:pt idx="61">
                  <c:v>Implement responsive trang profile</c:v>
                </c:pt>
                <c:pt idx="62">
                  <c:v>Map các trang lại với nhau bằng React Router</c:v>
                </c:pt>
                <c:pt idx="63">
                  <c:v>Tối ưu hóa trang payment</c:v>
                </c:pt>
                <c:pt idx="64">
                  <c:v>Tối ưu hóa responsive trang add new</c:v>
                </c:pt>
                <c:pt idx="65">
                  <c:v>Tối ưu hóa responsive trang help</c:v>
                </c:pt>
                <c:pt idx="66">
                  <c:v>Tối ưu hóa responsive trang profile</c:v>
                </c:pt>
                <c:pt idx="67">
                  <c:v>Áp dụng Lazy Loading cho các page</c:v>
                </c:pt>
                <c:pt idx="68">
                  <c:v>Nối các trang lại với nhau</c:v>
                </c:pt>
                <c:pt idx="69">
                  <c:v>Gắn các state lại với nhau</c:v>
                </c:pt>
                <c:pt idx="70">
                  <c:v>Sử dụng JSON server để đẩy dữ liệu template lên</c:v>
                </c:pt>
                <c:pt idx="71">
                  <c:v>Demo FrontEnd Website</c:v>
                </c:pt>
                <c:pt idx="72">
                  <c:v>Kết hợp với backend API để lấy data</c:v>
                </c:pt>
                <c:pt idx="73">
                  <c:v>Unit Testing for all components</c:v>
                </c:pt>
                <c:pt idx="74">
                  <c:v>Demo FrontEnd Website after connecting with backend api</c:v>
                </c:pt>
                <c:pt idx="75">
                  <c:v>Optimize Website's SEO</c:v>
                </c:pt>
                <c:pt idx="76">
                  <c:v>Optimize Based on Website's LightHouse score</c:v>
                </c:pt>
                <c:pt idx="77">
                  <c:v>Integrate With Google Analytics</c:v>
                </c:pt>
              </c:strCache>
            </c:strRef>
          </c:cat>
          <c:val>
            <c:numRef>
              <c:f>'Frontend-Planning'!$C$2:$C$79</c:f>
              <c:numCache>
                <c:formatCode>m/d/yyyy</c:formatCode>
                <c:ptCount val="78"/>
                <c:pt idx="0">
                  <c:v>45590</c:v>
                </c:pt>
                <c:pt idx="1">
                  <c:v>45590</c:v>
                </c:pt>
                <c:pt idx="2">
                  <c:v>45590</c:v>
                </c:pt>
                <c:pt idx="3">
                  <c:v>45590</c:v>
                </c:pt>
                <c:pt idx="4">
                  <c:v>45590</c:v>
                </c:pt>
                <c:pt idx="5">
                  <c:v>45590</c:v>
                </c:pt>
                <c:pt idx="6">
                  <c:v>45590</c:v>
                </c:pt>
                <c:pt idx="7">
                  <c:v>45590</c:v>
                </c:pt>
                <c:pt idx="8">
                  <c:v>45590</c:v>
                </c:pt>
                <c:pt idx="9">
                  <c:v>45590</c:v>
                </c:pt>
                <c:pt idx="10">
                  <c:v>45590</c:v>
                </c:pt>
                <c:pt idx="11">
                  <c:v>45590</c:v>
                </c:pt>
                <c:pt idx="12">
                  <c:v>45590</c:v>
                </c:pt>
                <c:pt idx="13">
                  <c:v>45590</c:v>
                </c:pt>
                <c:pt idx="14">
                  <c:v>45591</c:v>
                </c:pt>
                <c:pt idx="15">
                  <c:v>45591</c:v>
                </c:pt>
                <c:pt idx="16">
                  <c:v>45591</c:v>
                </c:pt>
                <c:pt idx="17">
                  <c:v>45591</c:v>
                </c:pt>
                <c:pt idx="18">
                  <c:v>45591</c:v>
                </c:pt>
                <c:pt idx="19">
                  <c:v>45591</c:v>
                </c:pt>
                <c:pt idx="20">
                  <c:v>45592</c:v>
                </c:pt>
                <c:pt idx="21">
                  <c:v>45592</c:v>
                </c:pt>
                <c:pt idx="22">
                  <c:v>45592</c:v>
                </c:pt>
                <c:pt idx="23">
                  <c:v>45592</c:v>
                </c:pt>
                <c:pt idx="24">
                  <c:v>45592</c:v>
                </c:pt>
                <c:pt idx="25">
                  <c:v>45592</c:v>
                </c:pt>
                <c:pt idx="26">
                  <c:v>45592</c:v>
                </c:pt>
                <c:pt idx="27">
                  <c:v>45592</c:v>
                </c:pt>
                <c:pt idx="28">
                  <c:v>45592</c:v>
                </c:pt>
                <c:pt idx="29">
                  <c:v>45592</c:v>
                </c:pt>
                <c:pt idx="30">
                  <c:v>45592</c:v>
                </c:pt>
                <c:pt idx="31">
                  <c:v>45592</c:v>
                </c:pt>
                <c:pt idx="32">
                  <c:v>45592</c:v>
                </c:pt>
                <c:pt idx="33">
                  <c:v>45592</c:v>
                </c:pt>
                <c:pt idx="34">
                  <c:v>45592</c:v>
                </c:pt>
                <c:pt idx="35">
                  <c:v>45592</c:v>
                </c:pt>
                <c:pt idx="36">
                  <c:v>45592</c:v>
                </c:pt>
                <c:pt idx="37">
                  <c:v>45592</c:v>
                </c:pt>
                <c:pt idx="38">
                  <c:v>45592</c:v>
                </c:pt>
                <c:pt idx="39">
                  <c:v>45592</c:v>
                </c:pt>
                <c:pt idx="40">
                  <c:v>45592</c:v>
                </c:pt>
                <c:pt idx="41">
                  <c:v>45592</c:v>
                </c:pt>
                <c:pt idx="42">
                  <c:v>45592</c:v>
                </c:pt>
                <c:pt idx="43">
                  <c:v>45592</c:v>
                </c:pt>
                <c:pt idx="44">
                  <c:v>45592</c:v>
                </c:pt>
                <c:pt idx="45">
                  <c:v>45592</c:v>
                </c:pt>
                <c:pt idx="46">
                  <c:v>45592</c:v>
                </c:pt>
                <c:pt idx="47">
                  <c:v>45592</c:v>
                </c:pt>
                <c:pt idx="48">
                  <c:v>45592</c:v>
                </c:pt>
                <c:pt idx="49">
                  <c:v>45593</c:v>
                </c:pt>
                <c:pt idx="50">
                  <c:v>45593</c:v>
                </c:pt>
                <c:pt idx="51">
                  <c:v>45593</c:v>
                </c:pt>
                <c:pt idx="52">
                  <c:v>45593</c:v>
                </c:pt>
                <c:pt idx="53">
                  <c:v>45593</c:v>
                </c:pt>
                <c:pt idx="54">
                  <c:v>45593</c:v>
                </c:pt>
                <c:pt idx="55">
                  <c:v>45593</c:v>
                </c:pt>
                <c:pt idx="56">
                  <c:v>45595</c:v>
                </c:pt>
                <c:pt idx="57">
                  <c:v>45595</c:v>
                </c:pt>
                <c:pt idx="58">
                  <c:v>45595</c:v>
                </c:pt>
                <c:pt idx="59">
                  <c:v>45595</c:v>
                </c:pt>
                <c:pt idx="60">
                  <c:v>45595</c:v>
                </c:pt>
                <c:pt idx="61">
                  <c:v>45596</c:v>
                </c:pt>
                <c:pt idx="62">
                  <c:v>45596</c:v>
                </c:pt>
                <c:pt idx="63">
                  <c:v>45596</c:v>
                </c:pt>
                <c:pt idx="64">
                  <c:v>45597</c:v>
                </c:pt>
                <c:pt idx="65">
                  <c:v>45597</c:v>
                </c:pt>
                <c:pt idx="66">
                  <c:v>45597</c:v>
                </c:pt>
                <c:pt idx="67">
                  <c:v>45598</c:v>
                </c:pt>
                <c:pt idx="68">
                  <c:v>45598</c:v>
                </c:pt>
                <c:pt idx="69">
                  <c:v>45599</c:v>
                </c:pt>
                <c:pt idx="70">
                  <c:v>45600</c:v>
                </c:pt>
                <c:pt idx="71">
                  <c:v>45600</c:v>
                </c:pt>
                <c:pt idx="72">
                  <c:v>45600</c:v>
                </c:pt>
                <c:pt idx="73">
                  <c:v>45601</c:v>
                </c:pt>
                <c:pt idx="74">
                  <c:v>45601</c:v>
                </c:pt>
                <c:pt idx="75">
                  <c:v>45601</c:v>
                </c:pt>
                <c:pt idx="76">
                  <c:v>45601</c:v>
                </c:pt>
                <c:pt idx="77">
                  <c:v>45601</c:v>
                </c:pt>
              </c:numCache>
            </c:numRef>
          </c:val>
          <c:extLst>
            <c:ext xmlns:c16="http://schemas.microsoft.com/office/drawing/2014/chart" uri="{C3380CC4-5D6E-409C-BE32-E72D297353CC}">
              <c16:uniqueId val="{00000000-1826-4191-AA59-4DDBF382FC29}"/>
            </c:ext>
          </c:extLst>
        </c:ser>
        <c:ser>
          <c:idx val="1"/>
          <c:order val="1"/>
          <c:spPr>
            <a:solidFill>
              <a:schemeClr val="accent2"/>
            </a:solidFill>
            <a:ln>
              <a:noFill/>
            </a:ln>
            <a:effectLst/>
          </c:spPr>
          <c:invertIfNegative val="0"/>
          <c:cat>
            <c:strRef>
              <c:f>'Frontend-Planning'!$B$2:$B$79</c:f>
              <c:strCache>
                <c:ptCount val="78"/>
                <c:pt idx="0">
                  <c:v>Xác định mục đích của website</c:v>
                </c:pt>
                <c:pt idx="1">
                  <c:v>Phân tích các thành phần của website thành các pages dựa trên Figma</c:v>
                </c:pt>
                <c:pt idx="2">
                  <c:v>Phân tích UI của mỗi page</c:v>
                </c:pt>
                <c:pt idx="3">
                  <c:v>Đưa các component này vào State Management Schema để theo dõi flow của data</c:v>
                </c:pt>
                <c:pt idx="4">
                  <c:v>Build Frontend Framework: React + TypeScript</c:v>
                </c:pt>
                <c:pt idx="5">
                  <c:v>Build Layout Framework để phát triển responsive: Material UI</c:v>
                </c:pt>
                <c:pt idx="6">
                  <c:v>kiến trúc để phát triển frontend: Single Page Application - Client Side Routing</c:v>
                </c:pt>
                <c:pt idx="7">
                  <c:v>Build công nghệ để triển khai client-side routing: React Router</c:v>
                </c:pt>
                <c:pt idx="8">
                  <c:v>Build Global UI State Management's tool: ReduxJS/toolkit</c:v>
                </c:pt>
                <c:pt idx="9">
                  <c:v>Build Remote State Management: React Router</c:v>
                </c:pt>
                <c:pt idx="10">
                  <c:v>Build backend data fetching library: Axios</c:v>
                </c:pt>
                <c:pt idx="11">
                  <c:v>Build build tool cho React: Vite</c:v>
                </c:pt>
                <c:pt idx="12">
                  <c:v>Build Authen/Author Mechanism</c:v>
                </c:pt>
                <c:pt idx="13">
                  <c:v>Build Virtual Display Mechanism</c:v>
                </c:pt>
                <c:pt idx="14">
                  <c:v>Integrate UI Control to Website: </c:v>
                </c:pt>
                <c:pt idx="15">
                  <c:v>Cài đặt NodeJS</c:v>
                </c:pt>
                <c:pt idx="16">
                  <c:v>Cài đặt Node Package Manager (npm)</c:v>
                </c:pt>
                <c:pt idx="17">
                  <c:v>Cài đặt Vite + React + TypeScript</c:v>
                </c:pt>
                <c:pt idx="18">
                  <c:v>Cài đặt React, React Router Dom, ReduxJS/Toolkit (Normal and TypeScript Version)</c:v>
                </c:pt>
                <c:pt idx="19">
                  <c:v>Cài đặt Material UI</c:v>
                </c:pt>
                <c:pt idx="20">
                  <c:v>Import font chữ sẽ sử dụng vào project</c:v>
                </c:pt>
                <c:pt idx="21">
                  <c:v>Cấu hình các break point của app để sử dụng với project</c:v>
                </c:pt>
                <c:pt idx="22">
                  <c:v>Cấu hình font chữ cho Material UI</c:v>
                </c:pt>
                <c:pt idx="23">
                  <c:v>Cấu hình spacing cho Material UI</c:v>
                </c:pt>
                <c:pt idx="24">
                  <c:v>Cấu hình color sẽ sử dụng trong website cho project</c:v>
                </c:pt>
                <c:pt idx="25">
                  <c:v>Cấu hình Material UI thích hợp cho project</c:v>
                </c:pt>
                <c:pt idx="26">
                  <c:v>Tổ chức source code cho frontend(Thư mục public chứa các thông tin chung của website như logo (192 và 512), trang index.html, file manifest.jsons, favicon.ico)</c:v>
                </c:pt>
                <c:pt idx="27">
                  <c:v>Tổ chức source code(Thư mục src chứa các thư mục con như Components, Contexts, Helpers (hay Utils cho các function phụ hỗ trợ), Models(Chứa các model hỗ được hỗ trợ kiểm tra bởi TypeScript), Pages, Routes, Services (Reusable code cho việc tương tác với API</c:v>
                </c:pt>
                <c:pt idx="28">
                  <c:v>Trong thư mục src, tạo thư mục "assets" để chứa các file tĩnh như images, fonts và các icons</c:v>
                </c:pt>
                <c:pt idx="29">
                  <c:v>Trong thư mục src, tạo thư mục "components" để chứa các UI components được tái sử dụng</c:v>
                </c:pt>
                <c:pt idx="30">
                  <c:v>Trong thư mục src, tạo thư mục "features" để chứa các feature, trong mỗi thư mục feature chứa các logic, component, styles, services chỉ thuộc về feature đó</c:v>
                </c:pt>
                <c:pt idx="31">
                  <c:v>Trong thư mục src, tạo thư mục "hooks" để chứa các custom hooks để tái sử dụng các logic trong ứng dụng</c:v>
                </c:pt>
                <c:pt idx="32">
                  <c:v>Trong thư mục src, tạo thư mục "layouts" để chứa các các component bao xung quanh nội dung chính trên page như Header, Footer và Sidebar</c:v>
                </c:pt>
                <c:pt idx="33">
                  <c:v>Trong thư mục src, tạo thư mục "pages" để chứa các page components và các css của chúng</c:v>
                </c:pt>
                <c:pt idx="34">
                  <c:v>Trong thư mục src, tạo thư mục "services" để chứa các file typescript thực hiện API call và các business logic sử dụng các dữ liệu từ các nguồn ngoài ví dụ như api data từ backend</c:v>
                </c:pt>
                <c:pt idx="35">
                  <c:v>Trong thư mục src, tạo thư mục "store" để chứa các file slices, action function, và store để quản lý các global state</c:v>
                </c:pt>
                <c:pt idx="36">
                  <c:v>Trong thư mục src, tạo thư mục "styles" để chứa các global style file và các style file tái sử dụng, bao gồm các file cấu hình Tailwind, SCSS file</c:v>
                </c:pt>
                <c:pt idx="37">
                  <c:v>Trong thư mục src, tạo thư mục "shared" để chứa các hàm tiện ích utility và các constant có thể được sử dụng trong ứng dụng</c:v>
                </c:pt>
                <c:pt idx="38">
                  <c:v>Trong thư mục src, tạo thư mục "types" để chứa các định nghĩa type, interfaces hay enums của TypeScript</c:v>
                </c:pt>
                <c:pt idx="39">
                  <c:v>Thư mục src chứa các tập tin như App.tsx, index.tsx</c:v>
                </c:pt>
                <c:pt idx="40">
                  <c:v>Tổ chức source code (Tại thư mục chính chứa các file như .gitignore, README.MD, tsconfig.json)</c:v>
                </c:pt>
                <c:pt idx="41">
                  <c:v>Khởi tạo Redux để tạo state management cho project và đặt nó trong file store.js</c:v>
                </c:pt>
                <c:pt idx="42">
                  <c:v>Tạo ra bản đồ sử dụng state, reducer giữa các pages của Website</c:v>
                </c:pt>
                <c:pt idx="43">
                  <c:v>Chọn plugin để transform css: sass cho việc triển khai thông qua file scss</c:v>
                </c:pt>
                <c:pt idx="44">
                  <c:v>Chọn plugin để transform css: postcss làm môi trường để sử dụng các plugin transform css</c:v>
                </c:pt>
                <c:pt idx="45">
                  <c:v>Chọn các plugin transform css như nanocss, autoprefixer và postcss-nested để sử dụng cùng với postcss</c:v>
                </c:pt>
                <c:pt idx="46">
                  <c:v>Cài đặt Extensions React Developer Tools cho Chrome</c:v>
                </c:pt>
                <c:pt idx="47">
                  <c:v>Cài đặt Extensions Redux DevTool cho Chrome</c:v>
                </c:pt>
                <c:pt idx="48">
                  <c:v>Tích hợp store vào React</c:v>
                </c:pt>
                <c:pt idx="49">
                  <c:v>Tạo ra các action method, reducer và cấu hình store chứa các reducer</c:v>
                </c:pt>
                <c:pt idx="50">
                  <c:v>Implement Sidebar</c:v>
                </c:pt>
                <c:pt idx="51">
                  <c:v>Implement Header</c:v>
                </c:pt>
                <c:pt idx="52">
                  <c:v>Implement trang payment</c:v>
                </c:pt>
                <c:pt idx="53">
                  <c:v>Implement trang My subscription</c:v>
                </c:pt>
                <c:pt idx="54">
                  <c:v>Implement trang add new</c:v>
                </c:pt>
                <c:pt idx="55">
                  <c:v>Implement trang help</c:v>
                </c:pt>
                <c:pt idx="56">
                  <c:v>Implement trang profile</c:v>
                </c:pt>
                <c:pt idx="57">
                  <c:v>Implement responsive cho trang My subscription</c:v>
                </c:pt>
                <c:pt idx="58">
                  <c:v>Implement responsive trang payment</c:v>
                </c:pt>
                <c:pt idx="59">
                  <c:v>Implement responsive trang add new</c:v>
                </c:pt>
                <c:pt idx="60">
                  <c:v>Implement responsive trang help</c:v>
                </c:pt>
                <c:pt idx="61">
                  <c:v>Implement responsive trang profile</c:v>
                </c:pt>
                <c:pt idx="62">
                  <c:v>Map các trang lại với nhau bằng React Router</c:v>
                </c:pt>
                <c:pt idx="63">
                  <c:v>Tối ưu hóa trang payment</c:v>
                </c:pt>
                <c:pt idx="64">
                  <c:v>Tối ưu hóa responsive trang add new</c:v>
                </c:pt>
                <c:pt idx="65">
                  <c:v>Tối ưu hóa responsive trang help</c:v>
                </c:pt>
                <c:pt idx="66">
                  <c:v>Tối ưu hóa responsive trang profile</c:v>
                </c:pt>
                <c:pt idx="67">
                  <c:v>Áp dụng Lazy Loading cho các page</c:v>
                </c:pt>
                <c:pt idx="68">
                  <c:v>Nối các trang lại với nhau</c:v>
                </c:pt>
                <c:pt idx="69">
                  <c:v>Gắn các state lại với nhau</c:v>
                </c:pt>
                <c:pt idx="70">
                  <c:v>Sử dụng JSON server để đẩy dữ liệu template lên</c:v>
                </c:pt>
                <c:pt idx="71">
                  <c:v>Demo FrontEnd Website</c:v>
                </c:pt>
                <c:pt idx="72">
                  <c:v>Kết hợp với backend API để lấy data</c:v>
                </c:pt>
                <c:pt idx="73">
                  <c:v>Unit Testing for all components</c:v>
                </c:pt>
                <c:pt idx="74">
                  <c:v>Demo FrontEnd Website after connecting with backend api</c:v>
                </c:pt>
                <c:pt idx="75">
                  <c:v>Optimize Website's SEO</c:v>
                </c:pt>
                <c:pt idx="76">
                  <c:v>Optimize Based on Website's LightHouse score</c:v>
                </c:pt>
                <c:pt idx="77">
                  <c:v>Integrate With Google Analytics</c:v>
                </c:pt>
              </c:strCache>
            </c:strRef>
          </c:cat>
          <c:val>
            <c:numRef>
              <c:f>'Frontend-Planning'!$D$2:$D$79</c:f>
              <c:numCache>
                <c:formatCode>General</c:formatCode>
                <c:ptCount val="7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2</c:v>
                </c:pt>
                <c:pt idx="51">
                  <c:v>2</c:v>
                </c:pt>
                <c:pt idx="52">
                  <c:v>2</c:v>
                </c:pt>
                <c:pt idx="53">
                  <c:v>2</c:v>
                </c:pt>
                <c:pt idx="54">
                  <c:v>2</c:v>
                </c:pt>
                <c:pt idx="55">
                  <c:v>2</c:v>
                </c:pt>
                <c:pt idx="56">
                  <c:v>2</c:v>
                </c:pt>
                <c:pt idx="57">
                  <c:v>2</c:v>
                </c:pt>
                <c:pt idx="58">
                  <c:v>2</c:v>
                </c:pt>
                <c:pt idx="59">
                  <c:v>2</c:v>
                </c:pt>
                <c:pt idx="60">
                  <c:v>2</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numCache>
            </c:numRef>
          </c:val>
          <c:extLst>
            <c:ext xmlns:c16="http://schemas.microsoft.com/office/drawing/2014/chart" uri="{C3380CC4-5D6E-409C-BE32-E72D297353CC}">
              <c16:uniqueId val="{00000001-1826-4191-AA59-4DDBF382FC29}"/>
            </c:ext>
          </c:extLst>
        </c:ser>
        <c:dLbls>
          <c:showLegendKey val="0"/>
          <c:showVal val="0"/>
          <c:showCatName val="0"/>
          <c:showSerName val="0"/>
          <c:showPercent val="0"/>
          <c:showBubbleSize val="0"/>
        </c:dLbls>
        <c:gapWidth val="0"/>
        <c:overlap val="100"/>
        <c:axId val="987586255"/>
        <c:axId val="987591055"/>
      </c:barChart>
      <c:catAx>
        <c:axId val="9875862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91055"/>
        <c:crosses val="autoZero"/>
        <c:auto val="1"/>
        <c:lblAlgn val="ctr"/>
        <c:lblOffset val="100"/>
        <c:noMultiLvlLbl val="0"/>
      </c:catAx>
      <c:valAx>
        <c:axId val="987591055"/>
        <c:scaling>
          <c:orientation val="minMax"/>
          <c:min val="45590"/>
        </c:scaling>
        <c:delete val="0"/>
        <c:axPos val="t"/>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8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'Database-Planning'!$C$1</c:f>
              <c:strCache>
                <c:ptCount val="1"/>
                <c:pt idx="0">
                  <c:v>Start Date</c:v>
                </c:pt>
              </c:strCache>
            </c:strRef>
          </c:tx>
          <c:spPr>
            <a:noFill/>
            <a:ln>
              <a:solidFill>
                <a:schemeClr val="accent1"/>
              </a:solidFill>
            </a:ln>
            <a:effectLst/>
          </c:spPr>
          <c:invertIfNegative val="0"/>
          <c:cat>
            <c:strRef>
              <c:f>'Database-Planning'!$B$2:$B$14</c:f>
              <c:strCache>
                <c:ptCount val="13"/>
                <c:pt idx="0">
                  <c:v>Xác định yêu cầu dữ liệu</c:v>
                </c:pt>
                <c:pt idx="1">
                  <c:v>Xác định yêu cầu bảo mật</c:v>
                </c:pt>
                <c:pt idx="2">
                  <c:v>Xác định yêu cầu về hiệu năng</c:v>
                </c:pt>
                <c:pt idx="3">
                  <c:v>Xác định các bảng thành phần</c:v>
                </c:pt>
                <c:pt idx="4">
                  <c:v>Xác định các trường của bảng thành phần</c:v>
                </c:pt>
                <c:pt idx="5">
                  <c:v>Xác định các khóa chính, khóa ngoại của mỗi bảng</c:v>
                </c:pt>
                <c:pt idx="6">
                  <c:v>Xác định các mối quan hệ giữa các bảng</c:v>
                </c:pt>
                <c:pt idx="7">
                  <c:v>Chuẩn hóa dữ liệu để giảm dư thừa</c:v>
                </c:pt>
                <c:pt idx="8">
                  <c:v>Xây dựng biểu đồ ERD</c:v>
                </c:pt>
                <c:pt idx="9">
                  <c:v>Chọn database engine để tạo database và lưu trữ</c:v>
                </c:pt>
                <c:pt idx="10">
                  <c:v>Thiết kế các bảng trong database để giống với các bảng trong ERD</c:v>
                </c:pt>
                <c:pt idx="11">
                  <c:v>Sử dụng Entity Framework để tạo ra các bảng này</c:v>
                </c:pt>
                <c:pt idx="12">
                  <c:v>Xác định kích thước của database</c:v>
                </c:pt>
              </c:strCache>
            </c:strRef>
          </c:cat>
          <c:val>
            <c:numRef>
              <c:f>'Database-Planning'!$C$2:$C$14</c:f>
              <c:numCache>
                <c:formatCode>m/d/yyyy</c:formatCode>
                <c:ptCount val="13"/>
                <c:pt idx="0">
                  <c:v>45590</c:v>
                </c:pt>
                <c:pt idx="1">
                  <c:v>45590</c:v>
                </c:pt>
                <c:pt idx="2">
                  <c:v>45590</c:v>
                </c:pt>
                <c:pt idx="3">
                  <c:v>45590</c:v>
                </c:pt>
                <c:pt idx="4">
                  <c:v>45591</c:v>
                </c:pt>
                <c:pt idx="5">
                  <c:v>45591</c:v>
                </c:pt>
                <c:pt idx="6">
                  <c:v>45591</c:v>
                </c:pt>
                <c:pt idx="7">
                  <c:v>45591</c:v>
                </c:pt>
                <c:pt idx="8">
                  <c:v>45591</c:v>
                </c:pt>
                <c:pt idx="9">
                  <c:v>45592</c:v>
                </c:pt>
                <c:pt idx="10">
                  <c:v>45592</c:v>
                </c:pt>
                <c:pt idx="11">
                  <c:v>45592</c:v>
                </c:pt>
                <c:pt idx="12">
                  <c:v>45593</c:v>
                </c:pt>
              </c:numCache>
            </c:numRef>
          </c:val>
          <c:extLst>
            <c:ext xmlns:c16="http://schemas.microsoft.com/office/drawing/2014/chart" uri="{C3380CC4-5D6E-409C-BE32-E72D297353CC}">
              <c16:uniqueId val="{00000000-3F1F-434C-94BC-A4447361368C}"/>
            </c:ext>
          </c:extLst>
        </c:ser>
        <c:ser>
          <c:idx val="1"/>
          <c:order val="1"/>
          <c:tx>
            <c:v>Time Period</c:v>
          </c:tx>
          <c:spPr>
            <a:solidFill>
              <a:schemeClr val="accent2"/>
            </a:solidFill>
            <a:ln>
              <a:noFill/>
            </a:ln>
            <a:effectLst/>
          </c:spPr>
          <c:invertIfNegative val="0"/>
          <c:cat>
            <c:strRef>
              <c:f>'Database-Planning'!$B$2:$B$14</c:f>
              <c:strCache>
                <c:ptCount val="13"/>
                <c:pt idx="0">
                  <c:v>Xác định yêu cầu dữ liệu</c:v>
                </c:pt>
                <c:pt idx="1">
                  <c:v>Xác định yêu cầu bảo mật</c:v>
                </c:pt>
                <c:pt idx="2">
                  <c:v>Xác định yêu cầu về hiệu năng</c:v>
                </c:pt>
                <c:pt idx="3">
                  <c:v>Xác định các bảng thành phần</c:v>
                </c:pt>
                <c:pt idx="4">
                  <c:v>Xác định các trường của bảng thành phần</c:v>
                </c:pt>
                <c:pt idx="5">
                  <c:v>Xác định các khóa chính, khóa ngoại của mỗi bảng</c:v>
                </c:pt>
                <c:pt idx="6">
                  <c:v>Xác định các mối quan hệ giữa các bảng</c:v>
                </c:pt>
                <c:pt idx="7">
                  <c:v>Chuẩn hóa dữ liệu để giảm dư thừa</c:v>
                </c:pt>
                <c:pt idx="8">
                  <c:v>Xây dựng biểu đồ ERD</c:v>
                </c:pt>
                <c:pt idx="9">
                  <c:v>Chọn database engine để tạo database và lưu trữ</c:v>
                </c:pt>
                <c:pt idx="10">
                  <c:v>Thiết kế các bảng trong database để giống với các bảng trong ERD</c:v>
                </c:pt>
                <c:pt idx="11">
                  <c:v>Sử dụng Entity Framework để tạo ra các bảng này</c:v>
                </c:pt>
                <c:pt idx="12">
                  <c:v>Xác định kích thước của database</c:v>
                </c:pt>
              </c:strCache>
            </c:strRef>
          </c:cat>
          <c:val>
            <c:numRef>
              <c:f>'Database-Planning'!$D$2:$D$14</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2</c:v>
                </c:pt>
              </c:numCache>
            </c:numRef>
          </c:val>
          <c:extLst>
            <c:ext xmlns:c16="http://schemas.microsoft.com/office/drawing/2014/chart" uri="{C3380CC4-5D6E-409C-BE32-E72D297353CC}">
              <c16:uniqueId val="{00000002-3F1F-434C-94BC-A4447361368C}"/>
            </c:ext>
          </c:extLst>
        </c:ser>
        <c:dLbls>
          <c:showLegendKey val="0"/>
          <c:showVal val="0"/>
          <c:showCatName val="0"/>
          <c:showSerName val="0"/>
          <c:showPercent val="0"/>
          <c:showBubbleSize val="0"/>
        </c:dLbls>
        <c:gapWidth val="0"/>
        <c:overlap val="100"/>
        <c:axId val="1972098495"/>
        <c:axId val="1972098015"/>
      </c:barChart>
      <c:catAx>
        <c:axId val="19720984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2098015"/>
        <c:crosses val="autoZero"/>
        <c:auto val="1"/>
        <c:lblAlgn val="ctr"/>
        <c:lblOffset val="100"/>
        <c:noMultiLvlLbl val="0"/>
      </c:catAx>
      <c:valAx>
        <c:axId val="1972098015"/>
        <c:scaling>
          <c:orientation val="minMax"/>
          <c:min val="45582"/>
        </c:scaling>
        <c:delete val="0"/>
        <c:axPos val="t"/>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09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'Backend-Planning'!$C$1</c:f>
              <c:strCache>
                <c:ptCount val="1"/>
                <c:pt idx="0">
                  <c:v>Start Date</c:v>
                </c:pt>
              </c:strCache>
            </c:strRef>
          </c:tx>
          <c:spPr>
            <a:noFill/>
            <a:ln>
              <a:solidFill>
                <a:schemeClr val="accent1"/>
              </a:solidFill>
            </a:ln>
            <a:effectLst/>
          </c:spPr>
          <c:invertIfNegative val="0"/>
          <c:cat>
            <c:strRef>
              <c:f>'Backend-Planning'!$B$2:$B$50</c:f>
              <c:strCache>
                <c:ptCount val="49"/>
                <c:pt idx="0">
                  <c:v>Prepare monolith architecture (Service Oriented Architecture)</c:v>
                </c:pt>
                <c:pt idx="1">
                  <c:v>Organize backend source code's structure</c:v>
                </c:pt>
                <c:pt idx="2">
                  <c:v>Choose technology stack: .NET 8, MSSQL Server</c:v>
                </c:pt>
                <c:pt idx="3">
                  <c:v>Choose ASPNET's template: ASPNETBoilerPlate (consists of plugins like Kestrel, Swagger and MSSQL Server Entity Framework core)</c:v>
                </c:pt>
                <c:pt idx="4">
                  <c:v>Use Design Pattern: Unit of Work, Repository, Dependency Injection, Inversion of Control, OOP</c:v>
                </c:pt>
                <c:pt idx="5">
                  <c:v>Design api endpoints</c:v>
                </c:pt>
                <c:pt idx="6">
                  <c:v>Design which methods each api endpoint will  use</c:v>
                </c:pt>
                <c:pt idx="7">
                  <c:v>With each Http Method, which are the input parameters and output which will be responed back to the client which sended the request</c:v>
                </c:pt>
                <c:pt idx="8">
                  <c:v>Design Service's interfaces</c:v>
                </c:pt>
                <c:pt idx="9">
                  <c:v>Design Unit Of Work's interface</c:v>
                </c:pt>
                <c:pt idx="10">
                  <c:v>Design Repository's interfaces</c:v>
                </c:pt>
                <c:pt idx="11">
                  <c:v>Tạo thư mục Controllers để chứa các Controllers</c:v>
                </c:pt>
                <c:pt idx="12">
                  <c:v>Tạo thư mục Services chứa các Services cung cấp cho các Controllers</c:v>
                </c:pt>
                <c:pt idx="13">
                  <c:v>Tạo thư mục Interfaces chứa các Interfaces của dự án</c:v>
                </c:pt>
                <c:pt idx="14">
                  <c:v>Tạo thư mục Data để chứa UnitOfWork hay ApplicationDbContext</c:v>
                </c:pt>
                <c:pt idx="15">
                  <c:v>Tạo thư mục Repositories để chứa các lớp Repository</c:v>
                </c:pt>
                <c:pt idx="16">
                  <c:v>Tạo thư mục DataAnnotations để chứa các user-defined data annotation</c:v>
                </c:pt>
                <c:pt idx="17">
                  <c:v>Tạo thư mục Filters để chứa các Filter</c:v>
                </c:pt>
                <c:pt idx="18">
                  <c:v>Tạo thư mục Dtos để chứa các Dtos</c:v>
                </c:pt>
                <c:pt idx="19">
                  <c:v>Tạo thư mục Enums để chứa các Enums</c:v>
                </c:pt>
                <c:pt idx="20">
                  <c:v>Tạo thư mục Extensions để chứa các Extension Method</c:v>
                </c:pt>
                <c:pt idx="21">
                  <c:v>Tạo thư Mục Helpers để chứa các hàm hỗ trợ</c:v>
                </c:pt>
                <c:pt idx="22">
                  <c:v>Tạo thư mục Mappers để chứa các extension method để map Dto sang các Model hoặc ngược lại</c:v>
                </c:pt>
                <c:pt idx="23">
                  <c:v>Tạo thư mục Models để chứa các application Models</c:v>
                </c:pt>
                <c:pt idx="24">
                  <c:v>Xác định các bảng cần tạo</c:v>
                </c:pt>
                <c:pt idx="25">
                  <c:v>Xác định các trường của mỗi bảng</c:v>
                </c:pt>
                <c:pt idx="26">
                  <c:v>Xác định các mối quan hệ giữa các bảng</c:v>
                </c:pt>
                <c:pt idx="27">
                  <c:v>Design Models</c:v>
                </c:pt>
                <c:pt idx="28">
                  <c:v>Implement Models</c:v>
                </c:pt>
                <c:pt idx="29">
                  <c:v>Implement ORM (Object-Relational Mapper)</c:v>
                </c:pt>
                <c:pt idx="30">
                  <c:v>Implement Repository Class</c:v>
                </c:pt>
                <c:pt idx="31">
                  <c:v>Implement Unit of work class</c:v>
                </c:pt>
                <c:pt idx="32">
                  <c:v>Implement Services's classes</c:v>
                </c:pt>
                <c:pt idx="33">
                  <c:v>Implement controllers</c:v>
                </c:pt>
                <c:pt idx="34">
                  <c:v>Implement Authentication</c:v>
                </c:pt>
                <c:pt idx="35">
                  <c:v>Implement Authorization</c:v>
                </c:pt>
                <c:pt idx="36">
                  <c:v>Optimize's code</c:v>
                </c:pt>
                <c:pt idx="37">
                  <c:v>Implement Exception Handling Technique</c:v>
                </c:pt>
                <c:pt idx="38">
                  <c:v>Implement Form's Validation in Backend</c:v>
                </c:pt>
                <c:pt idx="39">
                  <c:v>Limit user's api usages</c:v>
                </c:pt>
                <c:pt idx="40">
                  <c:v>Implement 2 factor's Authentication</c:v>
                </c:pt>
                <c:pt idx="41">
                  <c:v>Design Unit Test for project</c:v>
                </c:pt>
                <c:pt idx="42">
                  <c:v>Implement project's Unit Test</c:v>
                </c:pt>
                <c:pt idx="43">
                  <c:v>Đưa website lên các docker container</c:v>
                </c:pt>
                <c:pt idx="44">
                  <c:v>Chọn dịch vụ host để deploy website</c:v>
                </c:pt>
                <c:pt idx="45">
                  <c:v>Chỉ ra các thiết lập môi trường cần thiết để triển khai website lên dịch vụ host đã chọn</c:v>
                </c:pt>
                <c:pt idx="46">
                  <c:v>Tối ưu hóa các truy vấn xuống cơ sở dữ liệu</c:v>
                </c:pt>
                <c:pt idx="47">
                  <c:v>Đánh index để tăng tốc độ truy xuất</c:v>
                </c:pt>
                <c:pt idx="48">
                  <c:v>Tạo ra các API document (Swagger hay Postman Collection)</c:v>
                </c:pt>
              </c:strCache>
            </c:strRef>
          </c:cat>
          <c:val>
            <c:numRef>
              <c:f>'Backend-Planning'!$C$2:$C$50</c:f>
              <c:numCache>
                <c:formatCode>m/d/yyyy</c:formatCode>
                <c:ptCount val="49"/>
                <c:pt idx="0">
                  <c:v>45590</c:v>
                </c:pt>
                <c:pt idx="1">
                  <c:v>45590</c:v>
                </c:pt>
                <c:pt idx="2">
                  <c:v>45590</c:v>
                </c:pt>
                <c:pt idx="3">
                  <c:v>45590</c:v>
                </c:pt>
                <c:pt idx="4">
                  <c:v>45590</c:v>
                </c:pt>
                <c:pt idx="5">
                  <c:v>45590</c:v>
                </c:pt>
                <c:pt idx="6">
                  <c:v>45590</c:v>
                </c:pt>
                <c:pt idx="7">
                  <c:v>45590</c:v>
                </c:pt>
                <c:pt idx="8">
                  <c:v>45591</c:v>
                </c:pt>
                <c:pt idx="9">
                  <c:v>45591</c:v>
                </c:pt>
                <c:pt idx="10">
                  <c:v>45591</c:v>
                </c:pt>
                <c:pt idx="11">
                  <c:v>45592</c:v>
                </c:pt>
                <c:pt idx="12">
                  <c:v>45592</c:v>
                </c:pt>
                <c:pt idx="13">
                  <c:v>45592</c:v>
                </c:pt>
                <c:pt idx="14">
                  <c:v>45592</c:v>
                </c:pt>
                <c:pt idx="15">
                  <c:v>45592</c:v>
                </c:pt>
                <c:pt idx="16">
                  <c:v>45593</c:v>
                </c:pt>
                <c:pt idx="17">
                  <c:v>45593</c:v>
                </c:pt>
                <c:pt idx="18">
                  <c:v>45594</c:v>
                </c:pt>
                <c:pt idx="19">
                  <c:v>45594</c:v>
                </c:pt>
                <c:pt idx="20">
                  <c:v>45595</c:v>
                </c:pt>
                <c:pt idx="21">
                  <c:v>45597</c:v>
                </c:pt>
                <c:pt idx="22">
                  <c:v>45599</c:v>
                </c:pt>
                <c:pt idx="23">
                  <c:v>45599</c:v>
                </c:pt>
                <c:pt idx="24">
                  <c:v>45599</c:v>
                </c:pt>
                <c:pt idx="25">
                  <c:v>45600</c:v>
                </c:pt>
                <c:pt idx="26">
                  <c:v>45602</c:v>
                </c:pt>
                <c:pt idx="27">
                  <c:v>45603</c:v>
                </c:pt>
                <c:pt idx="28">
                  <c:v>45604</c:v>
                </c:pt>
                <c:pt idx="29">
                  <c:v>45604</c:v>
                </c:pt>
                <c:pt idx="30">
                  <c:v>45605</c:v>
                </c:pt>
                <c:pt idx="31">
                  <c:v>45606</c:v>
                </c:pt>
                <c:pt idx="32">
                  <c:v>45606</c:v>
                </c:pt>
                <c:pt idx="33">
                  <c:v>45607</c:v>
                </c:pt>
                <c:pt idx="34">
                  <c:v>45607</c:v>
                </c:pt>
                <c:pt idx="35">
                  <c:v>45608</c:v>
                </c:pt>
                <c:pt idx="36">
                  <c:v>45608</c:v>
                </c:pt>
                <c:pt idx="37">
                  <c:v>45609</c:v>
                </c:pt>
                <c:pt idx="38">
                  <c:v>45609</c:v>
                </c:pt>
                <c:pt idx="39">
                  <c:v>45610</c:v>
                </c:pt>
                <c:pt idx="40">
                  <c:v>45610</c:v>
                </c:pt>
                <c:pt idx="41">
                  <c:v>45611</c:v>
                </c:pt>
                <c:pt idx="42">
                  <c:v>45612</c:v>
                </c:pt>
                <c:pt idx="43">
                  <c:v>45612</c:v>
                </c:pt>
                <c:pt idx="44">
                  <c:v>45613</c:v>
                </c:pt>
                <c:pt idx="45">
                  <c:v>45613</c:v>
                </c:pt>
                <c:pt idx="46">
                  <c:v>45614</c:v>
                </c:pt>
                <c:pt idx="47">
                  <c:v>45614</c:v>
                </c:pt>
                <c:pt idx="48">
                  <c:v>45614</c:v>
                </c:pt>
              </c:numCache>
            </c:numRef>
          </c:val>
          <c:extLst>
            <c:ext xmlns:c16="http://schemas.microsoft.com/office/drawing/2014/chart" uri="{C3380CC4-5D6E-409C-BE32-E72D297353CC}">
              <c16:uniqueId val="{00000000-FE45-47B3-BDEC-5DCDB84D4F9F}"/>
            </c:ext>
          </c:extLst>
        </c:ser>
        <c:ser>
          <c:idx val="1"/>
          <c:order val="1"/>
          <c:tx>
            <c:v>Duration</c:v>
          </c:tx>
          <c:spPr>
            <a:solidFill>
              <a:schemeClr val="accent2"/>
            </a:solidFill>
            <a:ln>
              <a:noFill/>
            </a:ln>
            <a:effectLst/>
          </c:spPr>
          <c:invertIfNegative val="0"/>
          <c:cat>
            <c:strRef>
              <c:f>'Backend-Planning'!$B$2:$B$50</c:f>
              <c:strCache>
                <c:ptCount val="49"/>
                <c:pt idx="0">
                  <c:v>Prepare monolith architecture (Service Oriented Architecture)</c:v>
                </c:pt>
                <c:pt idx="1">
                  <c:v>Organize backend source code's structure</c:v>
                </c:pt>
                <c:pt idx="2">
                  <c:v>Choose technology stack: .NET 8, MSSQL Server</c:v>
                </c:pt>
                <c:pt idx="3">
                  <c:v>Choose ASPNET's template: ASPNETBoilerPlate (consists of plugins like Kestrel, Swagger and MSSQL Server Entity Framework core)</c:v>
                </c:pt>
                <c:pt idx="4">
                  <c:v>Use Design Pattern: Unit of Work, Repository, Dependency Injection, Inversion of Control, OOP</c:v>
                </c:pt>
                <c:pt idx="5">
                  <c:v>Design api endpoints</c:v>
                </c:pt>
                <c:pt idx="6">
                  <c:v>Design which methods each api endpoint will  use</c:v>
                </c:pt>
                <c:pt idx="7">
                  <c:v>With each Http Method, which are the input parameters and output which will be responed back to the client which sended the request</c:v>
                </c:pt>
                <c:pt idx="8">
                  <c:v>Design Service's interfaces</c:v>
                </c:pt>
                <c:pt idx="9">
                  <c:v>Design Unit Of Work's interface</c:v>
                </c:pt>
                <c:pt idx="10">
                  <c:v>Design Repository's interfaces</c:v>
                </c:pt>
                <c:pt idx="11">
                  <c:v>Tạo thư mục Controllers để chứa các Controllers</c:v>
                </c:pt>
                <c:pt idx="12">
                  <c:v>Tạo thư mục Services chứa các Services cung cấp cho các Controllers</c:v>
                </c:pt>
                <c:pt idx="13">
                  <c:v>Tạo thư mục Interfaces chứa các Interfaces của dự án</c:v>
                </c:pt>
                <c:pt idx="14">
                  <c:v>Tạo thư mục Data để chứa UnitOfWork hay ApplicationDbContext</c:v>
                </c:pt>
                <c:pt idx="15">
                  <c:v>Tạo thư mục Repositories để chứa các lớp Repository</c:v>
                </c:pt>
                <c:pt idx="16">
                  <c:v>Tạo thư mục DataAnnotations để chứa các user-defined data annotation</c:v>
                </c:pt>
                <c:pt idx="17">
                  <c:v>Tạo thư mục Filters để chứa các Filter</c:v>
                </c:pt>
                <c:pt idx="18">
                  <c:v>Tạo thư mục Dtos để chứa các Dtos</c:v>
                </c:pt>
                <c:pt idx="19">
                  <c:v>Tạo thư mục Enums để chứa các Enums</c:v>
                </c:pt>
                <c:pt idx="20">
                  <c:v>Tạo thư mục Extensions để chứa các Extension Method</c:v>
                </c:pt>
                <c:pt idx="21">
                  <c:v>Tạo thư Mục Helpers để chứa các hàm hỗ trợ</c:v>
                </c:pt>
                <c:pt idx="22">
                  <c:v>Tạo thư mục Mappers để chứa các extension method để map Dto sang các Model hoặc ngược lại</c:v>
                </c:pt>
                <c:pt idx="23">
                  <c:v>Tạo thư mục Models để chứa các application Models</c:v>
                </c:pt>
                <c:pt idx="24">
                  <c:v>Xác định các bảng cần tạo</c:v>
                </c:pt>
                <c:pt idx="25">
                  <c:v>Xác định các trường của mỗi bảng</c:v>
                </c:pt>
                <c:pt idx="26">
                  <c:v>Xác định các mối quan hệ giữa các bảng</c:v>
                </c:pt>
                <c:pt idx="27">
                  <c:v>Design Models</c:v>
                </c:pt>
                <c:pt idx="28">
                  <c:v>Implement Models</c:v>
                </c:pt>
                <c:pt idx="29">
                  <c:v>Implement ORM (Object-Relational Mapper)</c:v>
                </c:pt>
                <c:pt idx="30">
                  <c:v>Implement Repository Class</c:v>
                </c:pt>
                <c:pt idx="31">
                  <c:v>Implement Unit of work class</c:v>
                </c:pt>
                <c:pt idx="32">
                  <c:v>Implement Services's classes</c:v>
                </c:pt>
                <c:pt idx="33">
                  <c:v>Implement controllers</c:v>
                </c:pt>
                <c:pt idx="34">
                  <c:v>Implement Authentication</c:v>
                </c:pt>
                <c:pt idx="35">
                  <c:v>Implement Authorization</c:v>
                </c:pt>
                <c:pt idx="36">
                  <c:v>Optimize's code</c:v>
                </c:pt>
                <c:pt idx="37">
                  <c:v>Implement Exception Handling Technique</c:v>
                </c:pt>
                <c:pt idx="38">
                  <c:v>Implement Form's Validation in Backend</c:v>
                </c:pt>
                <c:pt idx="39">
                  <c:v>Limit user's api usages</c:v>
                </c:pt>
                <c:pt idx="40">
                  <c:v>Implement 2 factor's Authentication</c:v>
                </c:pt>
                <c:pt idx="41">
                  <c:v>Design Unit Test for project</c:v>
                </c:pt>
                <c:pt idx="42">
                  <c:v>Implement project's Unit Test</c:v>
                </c:pt>
                <c:pt idx="43">
                  <c:v>Đưa website lên các docker container</c:v>
                </c:pt>
                <c:pt idx="44">
                  <c:v>Chọn dịch vụ host để deploy website</c:v>
                </c:pt>
                <c:pt idx="45">
                  <c:v>Chỉ ra các thiết lập môi trường cần thiết để triển khai website lên dịch vụ host đã chọn</c:v>
                </c:pt>
                <c:pt idx="46">
                  <c:v>Tối ưu hóa các truy vấn xuống cơ sở dữ liệu</c:v>
                </c:pt>
                <c:pt idx="47">
                  <c:v>Đánh index để tăng tốc độ truy xuất</c:v>
                </c:pt>
                <c:pt idx="48">
                  <c:v>Tạo ra các API document (Swagger hay Postman Collection)</c:v>
                </c:pt>
              </c:strCache>
            </c:strRef>
          </c:cat>
          <c:val>
            <c:numRef>
              <c:f>'Backend-Planning'!$D$2:$D$50</c:f>
              <c:numCache>
                <c:formatCode>General</c:formatCode>
                <c:ptCount val="4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2</c:v>
                </c:pt>
                <c:pt idx="21">
                  <c:v>2</c:v>
                </c:pt>
                <c:pt idx="22">
                  <c:v>1</c:v>
                </c:pt>
                <c:pt idx="23">
                  <c:v>1</c:v>
                </c:pt>
                <c:pt idx="24">
                  <c:v>1</c:v>
                </c:pt>
                <c:pt idx="25">
                  <c:v>2</c:v>
                </c:pt>
                <c:pt idx="26">
                  <c:v>1</c:v>
                </c:pt>
                <c:pt idx="27">
                  <c:v>1</c:v>
                </c:pt>
                <c:pt idx="28">
                  <c:v>1</c:v>
                </c:pt>
                <c:pt idx="29">
                  <c:v>1</c:v>
                </c:pt>
                <c:pt idx="30">
                  <c:v>1</c:v>
                </c:pt>
                <c:pt idx="31">
                  <c:v>1</c:v>
                </c:pt>
                <c:pt idx="32">
                  <c:v>1</c:v>
                </c:pt>
                <c:pt idx="33">
                  <c:v>1</c:v>
                </c:pt>
                <c:pt idx="34">
                  <c:v>1</c:v>
                </c:pt>
                <c:pt idx="35">
                  <c:v>1</c:v>
                </c:pt>
                <c:pt idx="36">
                  <c:v>1</c:v>
                </c:pt>
                <c:pt idx="37">
                  <c:v>2</c:v>
                </c:pt>
                <c:pt idx="38">
                  <c:v>2</c:v>
                </c:pt>
                <c:pt idx="39">
                  <c:v>1</c:v>
                </c:pt>
                <c:pt idx="40">
                  <c:v>1</c:v>
                </c:pt>
                <c:pt idx="41">
                  <c:v>1</c:v>
                </c:pt>
                <c:pt idx="42">
                  <c:v>1</c:v>
                </c:pt>
                <c:pt idx="43">
                  <c:v>1</c:v>
                </c:pt>
                <c:pt idx="44">
                  <c:v>1</c:v>
                </c:pt>
                <c:pt idx="45">
                  <c:v>1</c:v>
                </c:pt>
                <c:pt idx="46">
                  <c:v>1</c:v>
                </c:pt>
                <c:pt idx="47">
                  <c:v>1</c:v>
                </c:pt>
                <c:pt idx="48">
                  <c:v>1</c:v>
                </c:pt>
              </c:numCache>
            </c:numRef>
          </c:val>
          <c:extLst>
            <c:ext xmlns:c16="http://schemas.microsoft.com/office/drawing/2014/chart" uri="{C3380CC4-5D6E-409C-BE32-E72D297353CC}">
              <c16:uniqueId val="{00000001-FE45-47B3-BDEC-5DCDB84D4F9F}"/>
            </c:ext>
          </c:extLst>
        </c:ser>
        <c:dLbls>
          <c:showLegendKey val="0"/>
          <c:showVal val="0"/>
          <c:showCatName val="0"/>
          <c:showSerName val="0"/>
          <c:showPercent val="0"/>
          <c:showBubbleSize val="0"/>
        </c:dLbls>
        <c:gapWidth val="0"/>
        <c:overlap val="100"/>
        <c:axId val="932789471"/>
        <c:axId val="927283887"/>
      </c:barChart>
      <c:catAx>
        <c:axId val="9327894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283887"/>
        <c:crosses val="autoZero"/>
        <c:auto val="1"/>
        <c:lblAlgn val="ctr"/>
        <c:lblOffset val="100"/>
        <c:noMultiLvlLbl val="0"/>
      </c:catAx>
      <c:valAx>
        <c:axId val="927283887"/>
        <c:scaling>
          <c:orientation val="minMax"/>
          <c:min val="45590"/>
        </c:scaling>
        <c:delete val="0"/>
        <c:axPos val="t"/>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8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361950</xdr:colOff>
      <xdr:row>0</xdr:row>
      <xdr:rowOff>807720</xdr:rowOff>
    </xdr:from>
    <xdr:to>
      <xdr:col>49</xdr:col>
      <xdr:colOff>518160</xdr:colOff>
      <xdr:row>93</xdr:row>
      <xdr:rowOff>152400</xdr:rowOff>
    </xdr:to>
    <xdr:graphicFrame macro="">
      <xdr:nvGraphicFramePr>
        <xdr:cNvPr id="3" name="Chart 2">
          <a:extLst>
            <a:ext uri="{FF2B5EF4-FFF2-40B4-BE49-F238E27FC236}">
              <a16:creationId xmlns:a16="http://schemas.microsoft.com/office/drawing/2014/main" id="{CE7DAE54-0593-85FC-897C-288998BE1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315686</xdr:colOff>
      <xdr:row>6</xdr:row>
      <xdr:rowOff>14151</xdr:rowOff>
    </xdr:from>
    <xdr:to>
      <xdr:col>33</xdr:col>
      <xdr:colOff>400050</xdr:colOff>
      <xdr:row>52</xdr:row>
      <xdr:rowOff>95251</xdr:rowOff>
    </xdr:to>
    <xdr:graphicFrame macro="">
      <xdr:nvGraphicFramePr>
        <xdr:cNvPr id="3" name="Chart 2">
          <a:extLst>
            <a:ext uri="{FF2B5EF4-FFF2-40B4-BE49-F238E27FC236}">
              <a16:creationId xmlns:a16="http://schemas.microsoft.com/office/drawing/2014/main" id="{D6CABDCF-0739-921F-9A32-5C56C83C1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528917</xdr:colOff>
      <xdr:row>2</xdr:row>
      <xdr:rowOff>4480</xdr:rowOff>
    </xdr:from>
    <xdr:to>
      <xdr:col>30</xdr:col>
      <xdr:colOff>331695</xdr:colOff>
      <xdr:row>58</xdr:row>
      <xdr:rowOff>17928</xdr:rowOff>
    </xdr:to>
    <xdr:graphicFrame macro="">
      <xdr:nvGraphicFramePr>
        <xdr:cNvPr id="5" name="Chart 4">
          <a:extLst>
            <a:ext uri="{FF2B5EF4-FFF2-40B4-BE49-F238E27FC236}">
              <a16:creationId xmlns:a16="http://schemas.microsoft.com/office/drawing/2014/main" id="{ED2E84F1-A11A-6B84-ED31-35F93DE49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CAC7-6493-4F21-A035-3583BE17B0E7}">
  <dimension ref="A1:J79"/>
  <sheetViews>
    <sheetView tabSelected="1" topLeftCell="A39" zoomScale="55" zoomScaleNormal="55" workbookViewId="0">
      <selection activeCell="B52" sqref="B52"/>
    </sheetView>
  </sheetViews>
  <sheetFormatPr defaultRowHeight="14.4" x14ac:dyDescent="0.3"/>
  <cols>
    <col min="2" max="2" width="225.88671875" customWidth="1"/>
    <col min="3" max="3" width="22" customWidth="1"/>
    <col min="4" max="4" width="18.88671875" customWidth="1"/>
    <col min="5" max="5" width="28.33203125" customWidth="1"/>
    <col min="6" max="6" width="15" customWidth="1"/>
    <col min="7" max="7" width="23.6640625" customWidth="1"/>
    <col min="8" max="8" width="8.88671875" customWidth="1"/>
    <col min="9" max="9" width="14.5546875" customWidth="1"/>
  </cols>
  <sheetData>
    <row r="1" spans="1:10" ht="74.400000000000006" customHeight="1" x14ac:dyDescent="0.3">
      <c r="A1" s="6" t="s">
        <v>0</v>
      </c>
      <c r="B1" s="6" t="s">
        <v>11</v>
      </c>
      <c r="C1" s="6" t="s">
        <v>12</v>
      </c>
      <c r="D1" s="6" t="s">
        <v>46</v>
      </c>
      <c r="E1" s="6" t="s">
        <v>45</v>
      </c>
      <c r="F1" s="6" t="s">
        <v>13</v>
      </c>
      <c r="G1" s="6" t="s">
        <v>14</v>
      </c>
      <c r="H1" s="6" t="s">
        <v>51</v>
      </c>
      <c r="I1" s="6" t="s">
        <v>12</v>
      </c>
      <c r="J1" s="6" t="s">
        <v>138</v>
      </c>
    </row>
    <row r="2" spans="1:10" s="11" customFormat="1" x14ac:dyDescent="0.3">
      <c r="A2" s="9">
        <v>1</v>
      </c>
      <c r="B2" s="19" t="s">
        <v>1</v>
      </c>
      <c r="C2" s="10">
        <f t="shared" ref="C2:C33" si="0">$I$2+H2</f>
        <v>45590</v>
      </c>
      <c r="D2" s="9">
        <v>1</v>
      </c>
      <c r="E2" s="9"/>
      <c r="F2" s="9" t="str">
        <f t="shared" ref="F2:F65" si="1">IF(ISBLANK(E2), "UNCOMPLETE", "COMPLETE")</f>
        <v>UNCOMPLETE</v>
      </c>
      <c r="G2" s="9" t="s">
        <v>17</v>
      </c>
      <c r="H2" s="2">
        <v>-1</v>
      </c>
      <c r="I2" s="13">
        <v>45591</v>
      </c>
      <c r="J2" s="9" t="s">
        <v>31</v>
      </c>
    </row>
    <row r="3" spans="1:10" x14ac:dyDescent="0.3">
      <c r="A3" s="2">
        <v>2</v>
      </c>
      <c r="B3" s="19" t="s">
        <v>82</v>
      </c>
      <c r="C3" s="10">
        <f t="shared" si="0"/>
        <v>45590</v>
      </c>
      <c r="D3" s="2">
        <v>1</v>
      </c>
      <c r="E3" s="2"/>
      <c r="F3" s="9" t="str">
        <f t="shared" si="1"/>
        <v>UNCOMPLETE</v>
      </c>
      <c r="G3" s="9" t="s">
        <v>17</v>
      </c>
      <c r="H3" s="2">
        <v>-1</v>
      </c>
      <c r="I3" s="2"/>
      <c r="J3" s="2" t="s">
        <v>31</v>
      </c>
    </row>
    <row r="4" spans="1:10" x14ac:dyDescent="0.3">
      <c r="A4" s="2">
        <v>3</v>
      </c>
      <c r="B4" s="19" t="s">
        <v>83</v>
      </c>
      <c r="C4" s="10">
        <f t="shared" si="0"/>
        <v>45590</v>
      </c>
      <c r="D4" s="2">
        <v>1</v>
      </c>
      <c r="E4" s="2"/>
      <c r="F4" s="9" t="str">
        <f t="shared" si="1"/>
        <v>UNCOMPLETE</v>
      </c>
      <c r="G4" s="2" t="s">
        <v>17</v>
      </c>
      <c r="H4" s="2">
        <v>-1</v>
      </c>
      <c r="I4" s="2"/>
      <c r="J4" s="2" t="s">
        <v>31</v>
      </c>
    </row>
    <row r="5" spans="1:10" x14ac:dyDescent="0.3">
      <c r="A5" s="2">
        <v>4</v>
      </c>
      <c r="B5" s="19" t="s">
        <v>84</v>
      </c>
      <c r="C5" s="10">
        <f t="shared" si="0"/>
        <v>45590</v>
      </c>
      <c r="D5" s="2">
        <v>1</v>
      </c>
      <c r="E5" s="2"/>
      <c r="F5" s="9" t="str">
        <f t="shared" si="1"/>
        <v>UNCOMPLETE</v>
      </c>
      <c r="G5" s="2" t="s">
        <v>17</v>
      </c>
      <c r="H5" s="2">
        <v>-1</v>
      </c>
      <c r="I5" s="2"/>
      <c r="J5" s="2" t="s">
        <v>31</v>
      </c>
    </row>
    <row r="6" spans="1:10" x14ac:dyDescent="0.3">
      <c r="A6" s="2">
        <v>5</v>
      </c>
      <c r="B6" s="19" t="s">
        <v>113</v>
      </c>
      <c r="C6" s="10">
        <f t="shared" si="0"/>
        <v>45590</v>
      </c>
      <c r="D6" s="2">
        <v>1</v>
      </c>
      <c r="E6" s="2" t="s">
        <v>47</v>
      </c>
      <c r="F6" s="9" t="str">
        <f t="shared" si="1"/>
        <v>COMPLETE</v>
      </c>
      <c r="G6" s="2" t="s">
        <v>17</v>
      </c>
      <c r="H6" s="2">
        <v>-1</v>
      </c>
      <c r="I6" s="2"/>
      <c r="J6" s="2" t="s">
        <v>31</v>
      </c>
    </row>
    <row r="7" spans="1:10" x14ac:dyDescent="0.3">
      <c r="A7" s="2">
        <v>6</v>
      </c>
      <c r="B7" s="19" t="s">
        <v>169</v>
      </c>
      <c r="C7" s="10">
        <f t="shared" si="0"/>
        <v>45590</v>
      </c>
      <c r="D7" s="2">
        <v>1</v>
      </c>
      <c r="E7" s="2"/>
      <c r="F7" s="9" t="str">
        <f t="shared" si="1"/>
        <v>UNCOMPLETE</v>
      </c>
      <c r="G7" s="2" t="s">
        <v>17</v>
      </c>
      <c r="H7" s="2">
        <v>-1</v>
      </c>
      <c r="I7" s="2"/>
      <c r="J7" s="2" t="s">
        <v>31</v>
      </c>
    </row>
    <row r="8" spans="1:10" x14ac:dyDescent="0.3">
      <c r="A8" s="2">
        <v>7</v>
      </c>
      <c r="B8" s="19" t="s">
        <v>119</v>
      </c>
      <c r="C8" s="10">
        <f t="shared" si="0"/>
        <v>45590</v>
      </c>
      <c r="D8" s="2">
        <v>1</v>
      </c>
      <c r="E8" s="2"/>
      <c r="F8" s="9" t="str">
        <f t="shared" si="1"/>
        <v>UNCOMPLETE</v>
      </c>
      <c r="G8" s="2" t="s">
        <v>17</v>
      </c>
      <c r="H8" s="2">
        <v>-1</v>
      </c>
      <c r="I8" s="2"/>
      <c r="J8" s="2" t="s">
        <v>31</v>
      </c>
    </row>
    <row r="9" spans="1:10" x14ac:dyDescent="0.3">
      <c r="A9" s="2">
        <v>8</v>
      </c>
      <c r="B9" s="19" t="s">
        <v>114</v>
      </c>
      <c r="C9" s="10">
        <f t="shared" si="0"/>
        <v>45590</v>
      </c>
      <c r="D9" s="2">
        <v>1</v>
      </c>
      <c r="E9" s="2"/>
      <c r="F9" s="9" t="str">
        <f t="shared" si="1"/>
        <v>UNCOMPLETE</v>
      </c>
      <c r="G9" s="2" t="s">
        <v>17</v>
      </c>
      <c r="H9" s="2">
        <v>-1</v>
      </c>
      <c r="I9" s="2"/>
      <c r="J9" s="2" t="s">
        <v>31</v>
      </c>
    </row>
    <row r="10" spans="1:10" x14ac:dyDescent="0.3">
      <c r="A10" s="2">
        <v>9</v>
      </c>
      <c r="B10" s="19" t="s">
        <v>115</v>
      </c>
      <c r="C10" s="10">
        <f t="shared" si="0"/>
        <v>45590</v>
      </c>
      <c r="D10" s="2">
        <v>1</v>
      </c>
      <c r="E10" s="2"/>
      <c r="F10" s="9" t="str">
        <f t="shared" si="1"/>
        <v>UNCOMPLETE</v>
      </c>
      <c r="G10" s="2" t="s">
        <v>17</v>
      </c>
      <c r="H10" s="2">
        <v>-1</v>
      </c>
      <c r="I10" s="2"/>
      <c r="J10" s="2" t="s">
        <v>31</v>
      </c>
    </row>
    <row r="11" spans="1:10" x14ac:dyDescent="0.3">
      <c r="A11" s="2">
        <v>10</v>
      </c>
      <c r="B11" s="19" t="s">
        <v>116</v>
      </c>
      <c r="C11" s="10">
        <f t="shared" si="0"/>
        <v>45590</v>
      </c>
      <c r="D11" s="2">
        <v>1</v>
      </c>
      <c r="E11" s="2"/>
      <c r="F11" s="9" t="str">
        <f t="shared" si="1"/>
        <v>UNCOMPLETE</v>
      </c>
      <c r="G11" s="2" t="s">
        <v>17</v>
      </c>
      <c r="H11" s="2">
        <v>-1</v>
      </c>
      <c r="I11" s="2"/>
      <c r="J11" s="2" t="s">
        <v>31</v>
      </c>
    </row>
    <row r="12" spans="1:10" x14ac:dyDescent="0.3">
      <c r="A12" s="2">
        <v>11</v>
      </c>
      <c r="B12" s="19" t="s">
        <v>117</v>
      </c>
      <c r="C12" s="10">
        <f t="shared" si="0"/>
        <v>45590</v>
      </c>
      <c r="D12" s="2">
        <v>1</v>
      </c>
      <c r="E12" s="2"/>
      <c r="F12" s="9" t="str">
        <f t="shared" si="1"/>
        <v>UNCOMPLETE</v>
      </c>
      <c r="G12" s="2" t="s">
        <v>17</v>
      </c>
      <c r="H12" s="2">
        <v>-1</v>
      </c>
      <c r="I12" s="2"/>
      <c r="J12" s="2" t="s">
        <v>31</v>
      </c>
    </row>
    <row r="13" spans="1:10" x14ac:dyDescent="0.3">
      <c r="A13" s="2">
        <v>12</v>
      </c>
      <c r="B13" s="19" t="s">
        <v>118</v>
      </c>
      <c r="C13" s="10">
        <f t="shared" si="0"/>
        <v>45590</v>
      </c>
      <c r="D13" s="2">
        <v>1</v>
      </c>
      <c r="E13" s="2"/>
      <c r="F13" s="9" t="str">
        <f t="shared" si="1"/>
        <v>UNCOMPLETE</v>
      </c>
      <c r="G13" s="2" t="s">
        <v>17</v>
      </c>
      <c r="H13" s="2">
        <v>-1</v>
      </c>
      <c r="I13" s="2"/>
      <c r="J13" s="2" t="s">
        <v>31</v>
      </c>
    </row>
    <row r="14" spans="1:10" x14ac:dyDescent="0.3">
      <c r="A14" s="2">
        <v>13</v>
      </c>
      <c r="B14" s="19" t="s">
        <v>120</v>
      </c>
      <c r="C14" s="10">
        <f t="shared" si="0"/>
        <v>45590</v>
      </c>
      <c r="D14" s="2">
        <v>1</v>
      </c>
      <c r="E14" s="2"/>
      <c r="F14" s="9" t="str">
        <f t="shared" si="1"/>
        <v>UNCOMPLETE</v>
      </c>
      <c r="G14" s="2" t="s">
        <v>17</v>
      </c>
      <c r="H14" s="2">
        <v>-1</v>
      </c>
      <c r="I14" s="2"/>
      <c r="J14" s="2" t="s">
        <v>31</v>
      </c>
    </row>
    <row r="15" spans="1:10" x14ac:dyDescent="0.3">
      <c r="A15" s="2">
        <v>14</v>
      </c>
      <c r="B15" s="19" t="s">
        <v>140</v>
      </c>
      <c r="C15" s="10">
        <f t="shared" si="0"/>
        <v>45590</v>
      </c>
      <c r="D15" s="2">
        <v>1</v>
      </c>
      <c r="E15" s="2"/>
      <c r="F15" s="9" t="str">
        <f t="shared" si="1"/>
        <v>UNCOMPLETE</v>
      </c>
      <c r="G15" s="2" t="s">
        <v>17</v>
      </c>
      <c r="H15" s="2">
        <v>-1</v>
      </c>
      <c r="I15" s="2"/>
      <c r="J15" s="2" t="s">
        <v>31</v>
      </c>
    </row>
    <row r="16" spans="1:10" x14ac:dyDescent="0.3">
      <c r="A16" s="2">
        <v>15</v>
      </c>
      <c r="B16" s="19" t="s">
        <v>141</v>
      </c>
      <c r="C16" s="10">
        <f t="shared" si="0"/>
        <v>45591</v>
      </c>
      <c r="D16" s="2">
        <v>1</v>
      </c>
      <c r="E16" s="2"/>
      <c r="F16" s="9" t="str">
        <f t="shared" si="1"/>
        <v>UNCOMPLETE</v>
      </c>
      <c r="G16" s="2" t="s">
        <v>17</v>
      </c>
      <c r="H16" s="2">
        <v>0</v>
      </c>
      <c r="I16" s="2"/>
      <c r="J16" s="2" t="s">
        <v>31</v>
      </c>
    </row>
    <row r="17" spans="1:10" x14ac:dyDescent="0.3">
      <c r="A17" s="2">
        <v>16</v>
      </c>
      <c r="B17" s="19" t="s">
        <v>71</v>
      </c>
      <c r="C17" s="10">
        <f t="shared" si="0"/>
        <v>45591</v>
      </c>
      <c r="D17" s="2">
        <v>1</v>
      </c>
      <c r="E17" s="2"/>
      <c r="F17" s="9" t="str">
        <f t="shared" si="1"/>
        <v>UNCOMPLETE</v>
      </c>
      <c r="G17" s="2" t="s">
        <v>17</v>
      </c>
      <c r="H17" s="2">
        <v>0</v>
      </c>
      <c r="I17" s="2"/>
      <c r="J17" s="2" t="s">
        <v>31</v>
      </c>
    </row>
    <row r="18" spans="1:10" x14ac:dyDescent="0.3">
      <c r="A18" s="2">
        <v>17</v>
      </c>
      <c r="B18" s="19" t="s">
        <v>72</v>
      </c>
      <c r="C18" s="10">
        <f t="shared" si="0"/>
        <v>45591</v>
      </c>
      <c r="D18" s="2">
        <v>1</v>
      </c>
      <c r="E18" s="2"/>
      <c r="F18" s="9" t="str">
        <f t="shared" si="1"/>
        <v>UNCOMPLETE</v>
      </c>
      <c r="G18" s="2" t="s">
        <v>17</v>
      </c>
      <c r="H18" s="2">
        <v>0</v>
      </c>
      <c r="I18" s="2"/>
      <c r="J18" s="2" t="s">
        <v>31</v>
      </c>
    </row>
    <row r="19" spans="1:10" x14ac:dyDescent="0.3">
      <c r="A19" s="2">
        <v>18</v>
      </c>
      <c r="B19" s="19" t="s">
        <v>77</v>
      </c>
      <c r="C19" s="10">
        <f t="shared" si="0"/>
        <v>45591</v>
      </c>
      <c r="D19" s="2">
        <v>1</v>
      </c>
      <c r="E19" s="2"/>
      <c r="F19" s="9" t="str">
        <f t="shared" si="1"/>
        <v>UNCOMPLETE</v>
      </c>
      <c r="G19" s="2" t="s">
        <v>17</v>
      </c>
      <c r="H19" s="2">
        <v>0</v>
      </c>
      <c r="I19" s="2"/>
      <c r="J19" s="2" t="s">
        <v>31</v>
      </c>
    </row>
    <row r="20" spans="1:10" ht="15.6" customHeight="1" x14ac:dyDescent="0.3">
      <c r="A20" s="2">
        <v>19</v>
      </c>
      <c r="B20" s="19" t="s">
        <v>78</v>
      </c>
      <c r="C20" s="10">
        <f t="shared" si="0"/>
        <v>45591</v>
      </c>
      <c r="D20" s="2">
        <v>1</v>
      </c>
      <c r="E20" s="2"/>
      <c r="F20" s="9" t="str">
        <f t="shared" si="1"/>
        <v>UNCOMPLETE</v>
      </c>
      <c r="G20" s="2" t="s">
        <v>17</v>
      </c>
      <c r="H20" s="2">
        <v>0</v>
      </c>
      <c r="I20" s="2"/>
      <c r="J20" s="2" t="s">
        <v>31</v>
      </c>
    </row>
    <row r="21" spans="1:10" x14ac:dyDescent="0.3">
      <c r="A21" s="2">
        <v>20</v>
      </c>
      <c r="B21" s="19" t="s">
        <v>175</v>
      </c>
      <c r="C21" s="10">
        <f t="shared" si="0"/>
        <v>45591</v>
      </c>
      <c r="D21" s="2">
        <v>1</v>
      </c>
      <c r="E21" s="2"/>
      <c r="F21" s="9" t="str">
        <f t="shared" si="1"/>
        <v>UNCOMPLETE</v>
      </c>
      <c r="G21" s="2" t="s">
        <v>17</v>
      </c>
      <c r="H21" s="2">
        <v>0</v>
      </c>
      <c r="I21" s="2"/>
      <c r="J21" s="2" t="s">
        <v>31</v>
      </c>
    </row>
    <row r="22" spans="1:10" x14ac:dyDescent="0.3">
      <c r="A22" s="2">
        <v>21</v>
      </c>
      <c r="B22" s="19" t="s">
        <v>172</v>
      </c>
      <c r="C22" s="10">
        <f t="shared" si="0"/>
        <v>45592</v>
      </c>
      <c r="D22" s="2">
        <v>1</v>
      </c>
      <c r="E22" s="18">
        <f t="shared" ref="E22" si="2">1/60</f>
        <v>1.6666666666666666E-2</v>
      </c>
      <c r="F22" s="9" t="str">
        <f t="shared" si="1"/>
        <v>COMPLETE</v>
      </c>
      <c r="G22" s="2" t="s">
        <v>17</v>
      </c>
      <c r="H22" s="2">
        <v>1</v>
      </c>
      <c r="I22" s="2"/>
      <c r="J22" s="2" t="s">
        <v>31</v>
      </c>
    </row>
    <row r="23" spans="1:10" x14ac:dyDescent="0.3">
      <c r="A23" s="2">
        <v>22</v>
      </c>
      <c r="B23" s="19" t="s">
        <v>174</v>
      </c>
      <c r="C23" s="10">
        <f t="shared" si="0"/>
        <v>45592</v>
      </c>
      <c r="D23" s="2">
        <v>1</v>
      </c>
      <c r="E23" s="18">
        <f>22/46</f>
        <v>0.47826086956521741</v>
      </c>
      <c r="F23" s="9" t="str">
        <f t="shared" si="1"/>
        <v>COMPLETE</v>
      </c>
      <c r="G23" s="2" t="s">
        <v>17</v>
      </c>
      <c r="H23" s="2">
        <v>1</v>
      </c>
      <c r="I23" s="2"/>
      <c r="J23" s="2" t="s">
        <v>31</v>
      </c>
    </row>
    <row r="24" spans="1:10" x14ac:dyDescent="0.3">
      <c r="A24" s="2">
        <v>23</v>
      </c>
      <c r="B24" s="19" t="s">
        <v>170</v>
      </c>
      <c r="C24" s="10">
        <f t="shared" si="0"/>
        <v>45592</v>
      </c>
      <c r="D24" s="2">
        <v>1</v>
      </c>
      <c r="E24" s="18">
        <f>1/60</f>
        <v>1.6666666666666666E-2</v>
      </c>
      <c r="F24" s="9" t="str">
        <f t="shared" si="1"/>
        <v>COMPLETE</v>
      </c>
      <c r="G24" s="2" t="s">
        <v>17</v>
      </c>
      <c r="H24" s="2">
        <v>1</v>
      </c>
      <c r="I24" s="2"/>
      <c r="J24" s="2" t="s">
        <v>31</v>
      </c>
    </row>
    <row r="25" spans="1:10" x14ac:dyDescent="0.3">
      <c r="A25" s="2">
        <v>24</v>
      </c>
      <c r="B25" s="19" t="s">
        <v>171</v>
      </c>
      <c r="C25" s="10">
        <f t="shared" si="0"/>
        <v>45592</v>
      </c>
      <c r="D25" s="2">
        <v>1</v>
      </c>
      <c r="E25" s="2">
        <f>3/60</f>
        <v>0.05</v>
      </c>
      <c r="F25" s="9" t="str">
        <f t="shared" si="1"/>
        <v>COMPLETE</v>
      </c>
      <c r="G25" s="2" t="s">
        <v>17</v>
      </c>
      <c r="H25" s="2">
        <v>1</v>
      </c>
      <c r="I25" s="2"/>
      <c r="J25" s="2" t="s">
        <v>31</v>
      </c>
    </row>
    <row r="26" spans="1:10" x14ac:dyDescent="0.3">
      <c r="A26" s="2">
        <v>25</v>
      </c>
      <c r="B26" s="19" t="s">
        <v>173</v>
      </c>
      <c r="C26" s="10">
        <f t="shared" si="0"/>
        <v>45592</v>
      </c>
      <c r="D26" s="2">
        <v>1</v>
      </c>
      <c r="E26" s="18">
        <f>23/60</f>
        <v>0.38333333333333336</v>
      </c>
      <c r="F26" s="9" t="str">
        <f t="shared" si="1"/>
        <v>COMPLETE</v>
      </c>
      <c r="G26" s="2" t="s">
        <v>17</v>
      </c>
      <c r="H26" s="2">
        <v>1</v>
      </c>
      <c r="I26" s="2"/>
      <c r="J26" s="2" t="s">
        <v>31</v>
      </c>
    </row>
    <row r="27" spans="1:10" x14ac:dyDescent="0.3">
      <c r="A27" s="2">
        <v>26</v>
      </c>
      <c r="B27" s="19" t="s">
        <v>179</v>
      </c>
      <c r="C27" s="10">
        <f t="shared" si="0"/>
        <v>45592</v>
      </c>
      <c r="D27" s="2">
        <v>1</v>
      </c>
      <c r="E27" s="18">
        <f>1/60</f>
        <v>1.6666666666666666E-2</v>
      </c>
      <c r="F27" s="9" t="str">
        <f t="shared" si="1"/>
        <v>COMPLETE</v>
      </c>
      <c r="G27" s="2" t="s">
        <v>17</v>
      </c>
      <c r="H27" s="2">
        <v>1</v>
      </c>
      <c r="I27" s="2"/>
      <c r="J27" s="2" t="s">
        <v>31</v>
      </c>
    </row>
    <row r="28" spans="1:10" x14ac:dyDescent="0.3">
      <c r="A28" s="2">
        <v>27</v>
      </c>
      <c r="B28" s="20" t="s">
        <v>79</v>
      </c>
      <c r="C28" s="10">
        <f t="shared" si="0"/>
        <v>45592</v>
      </c>
      <c r="D28" s="2">
        <v>1</v>
      </c>
      <c r="E28" s="18">
        <f t="shared" ref="E28:E42" si="3">1/60</f>
        <v>1.6666666666666666E-2</v>
      </c>
      <c r="F28" s="9" t="str">
        <f t="shared" si="1"/>
        <v>COMPLETE</v>
      </c>
      <c r="G28" s="2" t="s">
        <v>17</v>
      </c>
      <c r="H28" s="2">
        <v>1</v>
      </c>
      <c r="I28" s="2"/>
      <c r="J28" s="2" t="s">
        <v>31</v>
      </c>
    </row>
    <row r="29" spans="1:10" x14ac:dyDescent="0.3">
      <c r="A29" s="2">
        <v>28</v>
      </c>
      <c r="B29" s="19" t="s">
        <v>85</v>
      </c>
      <c r="C29" s="10">
        <f t="shared" si="0"/>
        <v>45592</v>
      </c>
      <c r="D29" s="2">
        <v>1</v>
      </c>
      <c r="E29" s="18">
        <f t="shared" si="3"/>
        <v>1.6666666666666666E-2</v>
      </c>
      <c r="F29" s="9" t="str">
        <f t="shared" si="1"/>
        <v>COMPLETE</v>
      </c>
      <c r="G29" s="2" t="s">
        <v>17</v>
      </c>
      <c r="H29" s="2">
        <v>1</v>
      </c>
      <c r="I29" s="2"/>
      <c r="J29" s="2" t="s">
        <v>31</v>
      </c>
    </row>
    <row r="30" spans="1:10" x14ac:dyDescent="0.3">
      <c r="A30" s="2">
        <v>29</v>
      </c>
      <c r="B30" s="19" t="s">
        <v>87</v>
      </c>
      <c r="C30" s="10">
        <f t="shared" si="0"/>
        <v>45592</v>
      </c>
      <c r="D30" s="2">
        <v>1</v>
      </c>
      <c r="E30" s="18">
        <f t="shared" si="3"/>
        <v>1.6666666666666666E-2</v>
      </c>
      <c r="F30" s="9" t="str">
        <f t="shared" si="1"/>
        <v>COMPLETE</v>
      </c>
      <c r="G30" s="2" t="s">
        <v>17</v>
      </c>
      <c r="H30" s="2">
        <v>1</v>
      </c>
      <c r="I30" s="2"/>
      <c r="J30" s="2" t="s">
        <v>31</v>
      </c>
    </row>
    <row r="31" spans="1:10" x14ac:dyDescent="0.3">
      <c r="A31" s="2">
        <v>30</v>
      </c>
      <c r="B31" s="19" t="s">
        <v>86</v>
      </c>
      <c r="C31" s="10">
        <f t="shared" si="0"/>
        <v>45592</v>
      </c>
      <c r="D31" s="2">
        <v>1</v>
      </c>
      <c r="E31" s="18">
        <f t="shared" si="3"/>
        <v>1.6666666666666666E-2</v>
      </c>
      <c r="F31" s="9" t="str">
        <f t="shared" si="1"/>
        <v>COMPLETE</v>
      </c>
      <c r="G31" s="2" t="s">
        <v>17</v>
      </c>
      <c r="H31" s="2">
        <v>1</v>
      </c>
      <c r="I31" s="2"/>
      <c r="J31" s="2" t="s">
        <v>31</v>
      </c>
    </row>
    <row r="32" spans="1:10" x14ac:dyDescent="0.3">
      <c r="A32" s="2">
        <v>31</v>
      </c>
      <c r="B32" s="19" t="s">
        <v>88</v>
      </c>
      <c r="C32" s="10">
        <f t="shared" si="0"/>
        <v>45592</v>
      </c>
      <c r="D32" s="2">
        <v>1</v>
      </c>
      <c r="E32" s="18">
        <f t="shared" si="3"/>
        <v>1.6666666666666666E-2</v>
      </c>
      <c r="F32" s="9" t="str">
        <f t="shared" si="1"/>
        <v>COMPLETE</v>
      </c>
      <c r="G32" s="2" t="s">
        <v>17</v>
      </c>
      <c r="H32" s="2">
        <v>1</v>
      </c>
      <c r="I32" s="2"/>
      <c r="J32" s="2" t="s">
        <v>31</v>
      </c>
    </row>
    <row r="33" spans="1:10" x14ac:dyDescent="0.3">
      <c r="A33" s="2">
        <v>32</v>
      </c>
      <c r="B33" s="19" t="s">
        <v>89</v>
      </c>
      <c r="C33" s="10">
        <f t="shared" si="0"/>
        <v>45592</v>
      </c>
      <c r="D33" s="2">
        <v>1</v>
      </c>
      <c r="E33" s="18">
        <f t="shared" si="3"/>
        <v>1.6666666666666666E-2</v>
      </c>
      <c r="F33" s="9" t="str">
        <f t="shared" si="1"/>
        <v>COMPLETE</v>
      </c>
      <c r="G33" s="2" t="s">
        <v>17</v>
      </c>
      <c r="H33" s="2">
        <v>1</v>
      </c>
      <c r="I33" s="2"/>
      <c r="J33" s="2" t="s">
        <v>31</v>
      </c>
    </row>
    <row r="34" spans="1:10" x14ac:dyDescent="0.3">
      <c r="A34" s="2">
        <v>33</v>
      </c>
      <c r="B34" s="19" t="s">
        <v>90</v>
      </c>
      <c r="C34" s="10">
        <f t="shared" ref="C34:C65" si="4">$I$2+H34</f>
        <v>45592</v>
      </c>
      <c r="D34" s="2">
        <v>1</v>
      </c>
      <c r="E34" s="18">
        <f t="shared" si="3"/>
        <v>1.6666666666666666E-2</v>
      </c>
      <c r="F34" s="9" t="str">
        <f t="shared" si="1"/>
        <v>COMPLETE</v>
      </c>
      <c r="G34" s="2" t="s">
        <v>17</v>
      </c>
      <c r="H34" s="2">
        <v>1</v>
      </c>
      <c r="I34" s="2"/>
      <c r="J34" s="2" t="s">
        <v>31</v>
      </c>
    </row>
    <row r="35" spans="1:10" x14ac:dyDescent="0.3">
      <c r="A35" s="2">
        <v>34</v>
      </c>
      <c r="B35" s="19" t="s">
        <v>91</v>
      </c>
      <c r="C35" s="10">
        <f t="shared" si="4"/>
        <v>45592</v>
      </c>
      <c r="D35" s="2">
        <v>1</v>
      </c>
      <c r="E35" s="18">
        <f t="shared" si="3"/>
        <v>1.6666666666666666E-2</v>
      </c>
      <c r="F35" s="9" t="str">
        <f t="shared" si="1"/>
        <v>COMPLETE</v>
      </c>
      <c r="G35" s="2" t="s">
        <v>17</v>
      </c>
      <c r="H35" s="2">
        <v>1</v>
      </c>
      <c r="I35" s="2"/>
      <c r="J35" s="2" t="s">
        <v>31</v>
      </c>
    </row>
    <row r="36" spans="1:10" x14ac:dyDescent="0.3">
      <c r="A36" s="2">
        <v>35</v>
      </c>
      <c r="B36" s="19" t="s">
        <v>92</v>
      </c>
      <c r="C36" s="10">
        <f t="shared" si="4"/>
        <v>45592</v>
      </c>
      <c r="D36" s="2">
        <v>1</v>
      </c>
      <c r="E36" s="18">
        <f t="shared" si="3"/>
        <v>1.6666666666666666E-2</v>
      </c>
      <c r="F36" s="9" t="str">
        <f t="shared" si="1"/>
        <v>COMPLETE</v>
      </c>
      <c r="G36" s="2" t="s">
        <v>17</v>
      </c>
      <c r="H36" s="2">
        <v>1</v>
      </c>
      <c r="I36" s="2"/>
      <c r="J36" s="2" t="s">
        <v>31</v>
      </c>
    </row>
    <row r="37" spans="1:10" x14ac:dyDescent="0.3">
      <c r="A37" s="2">
        <v>36</v>
      </c>
      <c r="B37" s="19" t="s">
        <v>93</v>
      </c>
      <c r="C37" s="10">
        <f t="shared" si="4"/>
        <v>45592</v>
      </c>
      <c r="D37" s="2">
        <v>1</v>
      </c>
      <c r="E37" s="18">
        <f t="shared" si="3"/>
        <v>1.6666666666666666E-2</v>
      </c>
      <c r="F37" s="9" t="str">
        <f t="shared" si="1"/>
        <v>COMPLETE</v>
      </c>
      <c r="G37" s="2" t="s">
        <v>17</v>
      </c>
      <c r="H37" s="2">
        <v>1</v>
      </c>
      <c r="I37" s="2"/>
      <c r="J37" s="2" t="s">
        <v>31</v>
      </c>
    </row>
    <row r="38" spans="1:10" x14ac:dyDescent="0.3">
      <c r="A38" s="2">
        <v>37</v>
      </c>
      <c r="B38" s="19" t="s">
        <v>94</v>
      </c>
      <c r="C38" s="10">
        <f t="shared" si="4"/>
        <v>45592</v>
      </c>
      <c r="D38" s="2">
        <v>1</v>
      </c>
      <c r="E38" s="18">
        <f t="shared" si="3"/>
        <v>1.6666666666666666E-2</v>
      </c>
      <c r="F38" s="9" t="str">
        <f t="shared" si="1"/>
        <v>COMPLETE</v>
      </c>
      <c r="G38" s="2" t="s">
        <v>17</v>
      </c>
      <c r="H38" s="2">
        <v>1</v>
      </c>
      <c r="I38" s="2"/>
      <c r="J38" s="2" t="s">
        <v>31</v>
      </c>
    </row>
    <row r="39" spans="1:10" x14ac:dyDescent="0.3">
      <c r="A39" s="2">
        <v>38</v>
      </c>
      <c r="B39" s="19" t="s">
        <v>176</v>
      </c>
      <c r="C39" s="10">
        <f t="shared" si="4"/>
        <v>45592</v>
      </c>
      <c r="D39" s="2">
        <v>1</v>
      </c>
      <c r="E39" s="18">
        <f t="shared" si="3"/>
        <v>1.6666666666666666E-2</v>
      </c>
      <c r="F39" s="9" t="str">
        <f t="shared" si="1"/>
        <v>COMPLETE</v>
      </c>
      <c r="G39" s="2" t="s">
        <v>17</v>
      </c>
      <c r="H39" s="2">
        <v>1</v>
      </c>
      <c r="I39" s="2"/>
      <c r="J39" s="2" t="s">
        <v>31</v>
      </c>
    </row>
    <row r="40" spans="1:10" x14ac:dyDescent="0.3">
      <c r="A40" s="2">
        <v>39</v>
      </c>
      <c r="B40" s="19" t="s">
        <v>95</v>
      </c>
      <c r="C40" s="10">
        <f t="shared" si="4"/>
        <v>45592</v>
      </c>
      <c r="D40" s="2">
        <v>1</v>
      </c>
      <c r="E40" s="18">
        <f t="shared" si="3"/>
        <v>1.6666666666666666E-2</v>
      </c>
      <c r="F40" s="9" t="str">
        <f t="shared" si="1"/>
        <v>COMPLETE</v>
      </c>
      <c r="G40" s="2" t="s">
        <v>17</v>
      </c>
      <c r="H40" s="2">
        <v>1</v>
      </c>
      <c r="I40" s="2"/>
      <c r="J40" s="2" t="s">
        <v>31</v>
      </c>
    </row>
    <row r="41" spans="1:10" x14ac:dyDescent="0.3">
      <c r="A41" s="2">
        <v>40</v>
      </c>
      <c r="B41" s="19" t="s">
        <v>96</v>
      </c>
      <c r="C41" s="10">
        <f t="shared" si="4"/>
        <v>45592</v>
      </c>
      <c r="D41" s="2">
        <v>1</v>
      </c>
      <c r="E41" s="18">
        <f t="shared" si="3"/>
        <v>1.6666666666666666E-2</v>
      </c>
      <c r="F41" s="9" t="str">
        <f t="shared" si="1"/>
        <v>COMPLETE</v>
      </c>
      <c r="G41" s="2" t="s">
        <v>17</v>
      </c>
      <c r="H41" s="2">
        <v>1</v>
      </c>
      <c r="I41" s="2"/>
      <c r="J41" s="2" t="s">
        <v>31</v>
      </c>
    </row>
    <row r="42" spans="1:10" x14ac:dyDescent="0.3">
      <c r="A42" s="2">
        <v>41</v>
      </c>
      <c r="B42" s="19" t="s">
        <v>178</v>
      </c>
      <c r="C42" s="10">
        <f t="shared" si="4"/>
        <v>45592</v>
      </c>
      <c r="D42" s="2">
        <v>1</v>
      </c>
      <c r="E42" s="18">
        <f t="shared" si="3"/>
        <v>1.6666666666666666E-2</v>
      </c>
      <c r="F42" s="9" t="str">
        <f t="shared" si="1"/>
        <v>COMPLETE</v>
      </c>
      <c r="G42" s="2" t="s">
        <v>17</v>
      </c>
      <c r="H42" s="2">
        <v>1</v>
      </c>
      <c r="I42" s="2"/>
      <c r="J42" s="2" t="s">
        <v>31</v>
      </c>
    </row>
    <row r="43" spans="1:10" x14ac:dyDescent="0.3">
      <c r="A43" s="2">
        <v>42</v>
      </c>
      <c r="B43" s="19" t="s">
        <v>73</v>
      </c>
      <c r="C43" s="10">
        <f t="shared" si="4"/>
        <v>45592</v>
      </c>
      <c r="D43" s="2">
        <v>1</v>
      </c>
      <c r="E43" s="2"/>
      <c r="F43" s="9" t="str">
        <f t="shared" si="1"/>
        <v>UNCOMPLETE</v>
      </c>
      <c r="G43" s="2" t="s">
        <v>17</v>
      </c>
      <c r="H43" s="2">
        <v>1</v>
      </c>
      <c r="I43" s="2"/>
      <c r="J43" s="2" t="s">
        <v>31</v>
      </c>
    </row>
    <row r="44" spans="1:10" x14ac:dyDescent="0.3">
      <c r="A44" s="2">
        <v>43</v>
      </c>
      <c r="B44" s="19" t="s">
        <v>74</v>
      </c>
      <c r="C44" s="10">
        <f t="shared" si="4"/>
        <v>45592</v>
      </c>
      <c r="D44" s="2">
        <v>1</v>
      </c>
      <c r="E44" s="2"/>
      <c r="F44" s="9" t="str">
        <f t="shared" si="1"/>
        <v>UNCOMPLETE</v>
      </c>
      <c r="G44" s="2" t="s">
        <v>17</v>
      </c>
      <c r="H44" s="2">
        <v>1</v>
      </c>
      <c r="I44" s="2"/>
      <c r="J44" s="2" t="s">
        <v>31</v>
      </c>
    </row>
    <row r="45" spans="1:10" x14ac:dyDescent="0.3">
      <c r="A45" s="2">
        <v>44</v>
      </c>
      <c r="B45" s="19" t="s">
        <v>97</v>
      </c>
      <c r="C45" s="10">
        <f t="shared" si="4"/>
        <v>45592</v>
      </c>
      <c r="D45" s="2">
        <v>1</v>
      </c>
      <c r="E45" s="2"/>
      <c r="F45" s="9" t="str">
        <f t="shared" si="1"/>
        <v>UNCOMPLETE</v>
      </c>
      <c r="G45" s="2" t="s">
        <v>17</v>
      </c>
      <c r="H45" s="2">
        <v>1</v>
      </c>
      <c r="I45" s="2"/>
      <c r="J45" s="2" t="s">
        <v>31</v>
      </c>
    </row>
    <row r="46" spans="1:10" x14ac:dyDescent="0.3">
      <c r="A46" s="2">
        <v>45</v>
      </c>
      <c r="B46" s="19" t="s">
        <v>98</v>
      </c>
      <c r="C46" s="10">
        <f t="shared" si="4"/>
        <v>45592</v>
      </c>
      <c r="D46" s="2">
        <v>1</v>
      </c>
      <c r="E46" s="2"/>
      <c r="F46" s="9" t="str">
        <f t="shared" si="1"/>
        <v>UNCOMPLETE</v>
      </c>
      <c r="G46" s="2" t="s">
        <v>17</v>
      </c>
      <c r="H46" s="2">
        <v>1</v>
      </c>
      <c r="I46" s="2"/>
      <c r="J46" s="2" t="s">
        <v>31</v>
      </c>
    </row>
    <row r="47" spans="1:10" x14ac:dyDescent="0.3">
      <c r="A47" s="2">
        <v>46</v>
      </c>
      <c r="B47" s="19" t="s">
        <v>177</v>
      </c>
      <c r="C47" s="10">
        <f t="shared" si="4"/>
        <v>45592</v>
      </c>
      <c r="D47" s="2">
        <v>1</v>
      </c>
      <c r="E47" s="2"/>
      <c r="F47" s="9" t="str">
        <f t="shared" si="1"/>
        <v>UNCOMPLETE</v>
      </c>
      <c r="G47" s="2" t="s">
        <v>17</v>
      </c>
      <c r="H47" s="2">
        <v>1</v>
      </c>
      <c r="I47" s="2"/>
      <c r="J47" s="2" t="s">
        <v>31</v>
      </c>
    </row>
    <row r="48" spans="1:10" x14ac:dyDescent="0.3">
      <c r="A48" s="2">
        <v>47</v>
      </c>
      <c r="B48" s="19" t="s">
        <v>80</v>
      </c>
      <c r="C48" s="10">
        <f t="shared" si="4"/>
        <v>45592</v>
      </c>
      <c r="D48" s="2">
        <v>1</v>
      </c>
      <c r="E48" s="2"/>
      <c r="F48" s="9" t="str">
        <f t="shared" si="1"/>
        <v>UNCOMPLETE</v>
      </c>
      <c r="G48" s="2" t="s">
        <v>17</v>
      </c>
      <c r="H48" s="2">
        <v>1</v>
      </c>
      <c r="I48" s="2"/>
      <c r="J48" s="2" t="s">
        <v>31</v>
      </c>
    </row>
    <row r="49" spans="1:10" x14ac:dyDescent="0.3">
      <c r="A49" s="2">
        <v>48</v>
      </c>
      <c r="B49" s="19" t="s">
        <v>81</v>
      </c>
      <c r="C49" s="10">
        <f t="shared" si="4"/>
        <v>45592</v>
      </c>
      <c r="D49" s="2">
        <v>1</v>
      </c>
      <c r="E49" s="2"/>
      <c r="F49" s="9" t="str">
        <f t="shared" si="1"/>
        <v>UNCOMPLETE</v>
      </c>
      <c r="G49" s="2" t="s">
        <v>17</v>
      </c>
      <c r="H49" s="2">
        <v>1</v>
      </c>
      <c r="I49" s="2"/>
      <c r="J49" s="2" t="s">
        <v>31</v>
      </c>
    </row>
    <row r="50" spans="1:10" x14ac:dyDescent="0.3">
      <c r="A50" s="2">
        <v>49</v>
      </c>
      <c r="B50" s="19" t="s">
        <v>76</v>
      </c>
      <c r="C50" s="10">
        <f t="shared" si="4"/>
        <v>45592</v>
      </c>
      <c r="D50" s="2">
        <v>1</v>
      </c>
      <c r="E50" s="2"/>
      <c r="F50" s="9" t="str">
        <f t="shared" si="1"/>
        <v>UNCOMPLETE</v>
      </c>
      <c r="G50" s="2" t="s">
        <v>17</v>
      </c>
      <c r="H50" s="2">
        <v>1</v>
      </c>
      <c r="I50" s="2"/>
      <c r="J50" s="2" t="s">
        <v>31</v>
      </c>
    </row>
    <row r="51" spans="1:10" x14ac:dyDescent="0.3">
      <c r="A51" s="2">
        <v>50</v>
      </c>
      <c r="B51" s="21" t="s">
        <v>75</v>
      </c>
      <c r="C51" s="10">
        <f t="shared" si="4"/>
        <v>45593</v>
      </c>
      <c r="D51" s="2">
        <v>1</v>
      </c>
      <c r="E51" s="2"/>
      <c r="F51" s="9" t="str">
        <f t="shared" si="1"/>
        <v>UNCOMPLETE</v>
      </c>
      <c r="G51" s="2" t="s">
        <v>17</v>
      </c>
      <c r="H51" s="2">
        <v>2</v>
      </c>
      <c r="I51" s="2"/>
      <c r="J51" s="2" t="s">
        <v>31</v>
      </c>
    </row>
    <row r="52" spans="1:10" x14ac:dyDescent="0.3">
      <c r="A52" s="2">
        <v>51</v>
      </c>
      <c r="B52" s="8" t="s">
        <v>121</v>
      </c>
      <c r="C52" s="10">
        <f t="shared" si="4"/>
        <v>45593</v>
      </c>
      <c r="D52" s="2">
        <v>2</v>
      </c>
      <c r="E52" s="2"/>
      <c r="F52" s="9" t="str">
        <f t="shared" si="1"/>
        <v>UNCOMPLETE</v>
      </c>
      <c r="G52" s="2" t="s">
        <v>17</v>
      </c>
      <c r="H52" s="2">
        <v>2</v>
      </c>
      <c r="I52" s="2"/>
      <c r="J52" s="2" t="s">
        <v>31</v>
      </c>
    </row>
    <row r="53" spans="1:10" x14ac:dyDescent="0.3">
      <c r="A53" s="2">
        <v>52</v>
      </c>
      <c r="B53" s="8" t="s">
        <v>122</v>
      </c>
      <c r="C53" s="10">
        <f t="shared" si="4"/>
        <v>45593</v>
      </c>
      <c r="D53" s="2">
        <v>2</v>
      </c>
      <c r="E53" s="2"/>
      <c r="F53" s="9" t="str">
        <f t="shared" si="1"/>
        <v>UNCOMPLETE</v>
      </c>
      <c r="G53" s="2" t="s">
        <v>17</v>
      </c>
      <c r="H53" s="2">
        <v>2</v>
      </c>
      <c r="I53" s="2"/>
      <c r="J53" s="2" t="s">
        <v>31</v>
      </c>
    </row>
    <row r="54" spans="1:10" x14ac:dyDescent="0.3">
      <c r="A54" s="2">
        <v>53</v>
      </c>
      <c r="B54" s="8" t="s">
        <v>123</v>
      </c>
      <c r="C54" s="10">
        <f t="shared" si="4"/>
        <v>45593</v>
      </c>
      <c r="D54" s="2">
        <v>2</v>
      </c>
      <c r="E54" s="2"/>
      <c r="F54" s="9" t="str">
        <f t="shared" si="1"/>
        <v>UNCOMPLETE</v>
      </c>
      <c r="G54" s="2" t="s">
        <v>17</v>
      </c>
      <c r="H54" s="2">
        <v>2</v>
      </c>
      <c r="I54" s="2"/>
      <c r="J54" s="2" t="s">
        <v>31</v>
      </c>
    </row>
    <row r="55" spans="1:10" x14ac:dyDescent="0.3">
      <c r="A55" s="2">
        <v>54</v>
      </c>
      <c r="B55" s="8" t="s">
        <v>124</v>
      </c>
      <c r="C55" s="10">
        <f t="shared" si="4"/>
        <v>45593</v>
      </c>
      <c r="D55" s="2">
        <v>2</v>
      </c>
      <c r="E55" s="2"/>
      <c r="F55" s="9" t="str">
        <f t="shared" si="1"/>
        <v>UNCOMPLETE</v>
      </c>
      <c r="G55" s="2" t="s">
        <v>17</v>
      </c>
      <c r="H55" s="2">
        <v>2</v>
      </c>
      <c r="I55" s="2"/>
      <c r="J55" s="2" t="s">
        <v>31</v>
      </c>
    </row>
    <row r="56" spans="1:10" x14ac:dyDescent="0.3">
      <c r="A56" s="2">
        <v>55</v>
      </c>
      <c r="B56" s="8" t="s">
        <v>125</v>
      </c>
      <c r="C56" s="10">
        <f t="shared" si="4"/>
        <v>45593</v>
      </c>
      <c r="D56" s="2">
        <v>2</v>
      </c>
      <c r="E56" s="2"/>
      <c r="F56" s="9" t="str">
        <f t="shared" si="1"/>
        <v>UNCOMPLETE</v>
      </c>
      <c r="G56" s="2" t="s">
        <v>17</v>
      </c>
      <c r="H56" s="2">
        <v>2</v>
      </c>
      <c r="I56" s="2"/>
      <c r="J56" s="2" t="s">
        <v>31</v>
      </c>
    </row>
    <row r="57" spans="1:10" x14ac:dyDescent="0.3">
      <c r="A57" s="2">
        <v>56</v>
      </c>
      <c r="B57" s="8" t="s">
        <v>126</v>
      </c>
      <c r="C57" s="10">
        <f t="shared" si="4"/>
        <v>45593</v>
      </c>
      <c r="D57" s="2">
        <v>2</v>
      </c>
      <c r="E57" s="2"/>
      <c r="F57" s="9" t="str">
        <f t="shared" si="1"/>
        <v>UNCOMPLETE</v>
      </c>
      <c r="G57" s="2" t="s">
        <v>17</v>
      </c>
      <c r="H57" s="2">
        <v>2</v>
      </c>
      <c r="I57" s="2"/>
      <c r="J57" s="2" t="s">
        <v>31</v>
      </c>
    </row>
    <row r="58" spans="1:10" x14ac:dyDescent="0.3">
      <c r="A58" s="2">
        <v>57</v>
      </c>
      <c r="B58" s="8" t="s">
        <v>127</v>
      </c>
      <c r="C58" s="10">
        <f t="shared" si="4"/>
        <v>45595</v>
      </c>
      <c r="D58" s="2">
        <v>2</v>
      </c>
      <c r="E58" s="2"/>
      <c r="F58" s="9" t="str">
        <f t="shared" si="1"/>
        <v>UNCOMPLETE</v>
      </c>
      <c r="G58" s="2" t="s">
        <v>17</v>
      </c>
      <c r="H58" s="2">
        <v>4</v>
      </c>
      <c r="I58" s="2"/>
      <c r="J58" s="2" t="s">
        <v>31</v>
      </c>
    </row>
    <row r="59" spans="1:10" x14ac:dyDescent="0.3">
      <c r="A59" s="2">
        <v>58</v>
      </c>
      <c r="B59" s="8" t="s">
        <v>128</v>
      </c>
      <c r="C59" s="10">
        <f t="shared" si="4"/>
        <v>45595</v>
      </c>
      <c r="D59" s="2">
        <v>2</v>
      </c>
      <c r="E59" s="2"/>
      <c r="F59" s="9" t="str">
        <f t="shared" si="1"/>
        <v>UNCOMPLETE</v>
      </c>
      <c r="G59" s="2" t="s">
        <v>17</v>
      </c>
      <c r="H59" s="2">
        <v>4</v>
      </c>
      <c r="I59" s="2"/>
      <c r="J59" s="2" t="s">
        <v>31</v>
      </c>
    </row>
    <row r="60" spans="1:10" x14ac:dyDescent="0.3">
      <c r="A60" s="2">
        <v>59</v>
      </c>
      <c r="B60" s="8" t="s">
        <v>129</v>
      </c>
      <c r="C60" s="10">
        <f t="shared" si="4"/>
        <v>45595</v>
      </c>
      <c r="D60" s="2">
        <v>2</v>
      </c>
      <c r="E60" s="2"/>
      <c r="F60" s="9" t="str">
        <f t="shared" si="1"/>
        <v>UNCOMPLETE</v>
      </c>
      <c r="G60" s="2" t="s">
        <v>17</v>
      </c>
      <c r="H60" s="2">
        <v>4</v>
      </c>
      <c r="I60" s="2"/>
      <c r="J60" s="2" t="s">
        <v>31</v>
      </c>
    </row>
    <row r="61" spans="1:10" x14ac:dyDescent="0.3">
      <c r="A61" s="2">
        <v>60</v>
      </c>
      <c r="B61" s="8" t="s">
        <v>130</v>
      </c>
      <c r="C61" s="10">
        <f t="shared" si="4"/>
        <v>45595</v>
      </c>
      <c r="D61" s="2">
        <v>2</v>
      </c>
      <c r="E61" s="2"/>
      <c r="F61" s="9" t="str">
        <f t="shared" si="1"/>
        <v>UNCOMPLETE</v>
      </c>
      <c r="G61" s="2" t="s">
        <v>17</v>
      </c>
      <c r="H61" s="2">
        <v>4</v>
      </c>
      <c r="I61" s="2"/>
      <c r="J61" s="2" t="s">
        <v>31</v>
      </c>
    </row>
    <row r="62" spans="1:10" x14ac:dyDescent="0.3">
      <c r="A62" s="2">
        <v>61</v>
      </c>
      <c r="B62" s="8" t="s">
        <v>131</v>
      </c>
      <c r="C62" s="10">
        <f t="shared" si="4"/>
        <v>45595</v>
      </c>
      <c r="D62" s="2">
        <v>2</v>
      </c>
      <c r="E62" s="2"/>
      <c r="F62" s="9" t="str">
        <f t="shared" si="1"/>
        <v>UNCOMPLETE</v>
      </c>
      <c r="G62" s="2" t="s">
        <v>17</v>
      </c>
      <c r="H62" s="2">
        <v>4</v>
      </c>
      <c r="I62" s="2"/>
      <c r="J62" s="2" t="s">
        <v>31</v>
      </c>
    </row>
    <row r="63" spans="1:10" x14ac:dyDescent="0.3">
      <c r="A63" s="2">
        <v>62</v>
      </c>
      <c r="B63" s="8" t="s">
        <v>132</v>
      </c>
      <c r="C63" s="10">
        <f t="shared" si="4"/>
        <v>45596</v>
      </c>
      <c r="D63" s="2">
        <v>1</v>
      </c>
      <c r="E63" s="2"/>
      <c r="F63" s="9" t="str">
        <f t="shared" si="1"/>
        <v>UNCOMPLETE</v>
      </c>
      <c r="G63" s="2" t="s">
        <v>17</v>
      </c>
      <c r="H63" s="2">
        <v>5</v>
      </c>
      <c r="I63" s="2"/>
      <c r="J63" s="2" t="s">
        <v>31</v>
      </c>
    </row>
    <row r="64" spans="1:10" x14ac:dyDescent="0.3">
      <c r="A64" s="2">
        <v>63</v>
      </c>
      <c r="B64" s="8" t="s">
        <v>2</v>
      </c>
      <c r="C64" s="10">
        <f t="shared" si="4"/>
        <v>45596</v>
      </c>
      <c r="D64" s="2">
        <v>1</v>
      </c>
      <c r="E64" s="2"/>
      <c r="F64" s="9" t="str">
        <f t="shared" si="1"/>
        <v>UNCOMPLETE</v>
      </c>
      <c r="G64" s="2" t="s">
        <v>17</v>
      </c>
      <c r="H64" s="2">
        <v>5</v>
      </c>
      <c r="I64" s="2"/>
      <c r="J64" s="2" t="s">
        <v>31</v>
      </c>
    </row>
    <row r="65" spans="1:10" x14ac:dyDescent="0.3">
      <c r="A65" s="2">
        <v>64</v>
      </c>
      <c r="B65" s="8" t="s">
        <v>3</v>
      </c>
      <c r="C65" s="10">
        <f t="shared" si="4"/>
        <v>45596</v>
      </c>
      <c r="D65" s="2">
        <v>1</v>
      </c>
      <c r="E65" s="2"/>
      <c r="F65" s="9" t="str">
        <f t="shared" si="1"/>
        <v>UNCOMPLETE</v>
      </c>
      <c r="G65" s="2" t="s">
        <v>17</v>
      </c>
      <c r="H65" s="2">
        <v>5</v>
      </c>
      <c r="I65" s="2"/>
      <c r="J65" s="2" t="s">
        <v>31</v>
      </c>
    </row>
    <row r="66" spans="1:10" x14ac:dyDescent="0.3">
      <c r="A66" s="2">
        <v>65</v>
      </c>
      <c r="B66" s="8" t="s">
        <v>4</v>
      </c>
      <c r="C66" s="10">
        <f t="shared" ref="C66:C79" si="5">$I$2+H66</f>
        <v>45597</v>
      </c>
      <c r="D66" s="2">
        <v>1</v>
      </c>
      <c r="E66" s="2"/>
      <c r="F66" s="9" t="str">
        <f t="shared" ref="F66:F79" si="6">IF(ISBLANK(E66), "UNCOMPLETE", "COMPLETE")</f>
        <v>UNCOMPLETE</v>
      </c>
      <c r="G66" s="2" t="s">
        <v>17</v>
      </c>
      <c r="H66" s="2">
        <v>6</v>
      </c>
      <c r="I66" s="2"/>
      <c r="J66" s="2" t="s">
        <v>31</v>
      </c>
    </row>
    <row r="67" spans="1:10" x14ac:dyDescent="0.3">
      <c r="A67" s="2">
        <v>66</v>
      </c>
      <c r="B67" s="8" t="s">
        <v>5</v>
      </c>
      <c r="C67" s="10">
        <f t="shared" si="5"/>
        <v>45597</v>
      </c>
      <c r="D67" s="2">
        <v>1</v>
      </c>
      <c r="E67" s="2"/>
      <c r="F67" s="9" t="str">
        <f t="shared" si="6"/>
        <v>UNCOMPLETE</v>
      </c>
      <c r="G67" s="2" t="s">
        <v>17</v>
      </c>
      <c r="H67" s="2">
        <v>6</v>
      </c>
      <c r="I67" s="2"/>
      <c r="J67" s="2" t="s">
        <v>31</v>
      </c>
    </row>
    <row r="68" spans="1:10" x14ac:dyDescent="0.3">
      <c r="A68" s="2">
        <v>67</v>
      </c>
      <c r="B68" s="8" t="s">
        <v>6</v>
      </c>
      <c r="C68" s="10">
        <f t="shared" si="5"/>
        <v>45597</v>
      </c>
      <c r="D68" s="2">
        <v>1</v>
      </c>
      <c r="E68" s="2"/>
      <c r="F68" s="9" t="str">
        <f t="shared" si="6"/>
        <v>UNCOMPLETE</v>
      </c>
      <c r="G68" s="2" t="s">
        <v>17</v>
      </c>
      <c r="H68" s="2">
        <v>6</v>
      </c>
      <c r="I68" s="2"/>
      <c r="J68" s="2" t="s">
        <v>31</v>
      </c>
    </row>
    <row r="69" spans="1:10" x14ac:dyDescent="0.3">
      <c r="A69" s="2">
        <v>68</v>
      </c>
      <c r="B69" s="8" t="s">
        <v>7</v>
      </c>
      <c r="C69" s="10">
        <f t="shared" si="5"/>
        <v>45598</v>
      </c>
      <c r="D69" s="2">
        <v>1</v>
      </c>
      <c r="E69" s="2"/>
      <c r="F69" s="9" t="str">
        <f t="shared" si="6"/>
        <v>UNCOMPLETE</v>
      </c>
      <c r="G69" s="2" t="s">
        <v>17</v>
      </c>
      <c r="H69" s="2">
        <v>7</v>
      </c>
      <c r="I69" s="2"/>
      <c r="J69" s="2" t="s">
        <v>31</v>
      </c>
    </row>
    <row r="70" spans="1:10" x14ac:dyDescent="0.3">
      <c r="A70" s="2">
        <v>69</v>
      </c>
      <c r="B70" s="8" t="s">
        <v>8</v>
      </c>
      <c r="C70" s="10">
        <f t="shared" si="5"/>
        <v>45598</v>
      </c>
      <c r="D70" s="2">
        <v>1</v>
      </c>
      <c r="E70" s="2"/>
      <c r="F70" s="9" t="str">
        <f t="shared" si="6"/>
        <v>UNCOMPLETE</v>
      </c>
      <c r="G70" s="2" t="s">
        <v>17</v>
      </c>
      <c r="H70" s="2">
        <v>7</v>
      </c>
      <c r="I70" s="2"/>
      <c r="J70" s="2" t="s">
        <v>31</v>
      </c>
    </row>
    <row r="71" spans="1:10" x14ac:dyDescent="0.3">
      <c r="A71" s="2">
        <v>70</v>
      </c>
      <c r="B71" s="8" t="s">
        <v>9</v>
      </c>
      <c r="C71" s="10">
        <f t="shared" si="5"/>
        <v>45599</v>
      </c>
      <c r="D71" s="2">
        <v>1</v>
      </c>
      <c r="E71" s="2"/>
      <c r="F71" s="9" t="str">
        <f t="shared" si="6"/>
        <v>UNCOMPLETE</v>
      </c>
      <c r="G71" s="2" t="s">
        <v>17</v>
      </c>
      <c r="H71" s="2">
        <v>8</v>
      </c>
      <c r="I71" s="2"/>
      <c r="J71" s="2" t="s">
        <v>31</v>
      </c>
    </row>
    <row r="72" spans="1:10" x14ac:dyDescent="0.3">
      <c r="A72" s="2">
        <v>71</v>
      </c>
      <c r="B72" s="8" t="s">
        <v>10</v>
      </c>
      <c r="C72" s="10">
        <f t="shared" si="5"/>
        <v>45600</v>
      </c>
      <c r="D72" s="2">
        <v>1</v>
      </c>
      <c r="E72" s="2"/>
      <c r="F72" s="9" t="str">
        <f t="shared" si="6"/>
        <v>UNCOMPLETE</v>
      </c>
      <c r="G72" s="2" t="s">
        <v>17</v>
      </c>
      <c r="H72" s="2">
        <v>9</v>
      </c>
      <c r="I72" s="2"/>
      <c r="J72" s="2" t="s">
        <v>31</v>
      </c>
    </row>
    <row r="73" spans="1:10" x14ac:dyDescent="0.3">
      <c r="A73" s="2">
        <v>72</v>
      </c>
      <c r="B73" s="8" t="s">
        <v>48</v>
      </c>
      <c r="C73" s="10">
        <f t="shared" si="5"/>
        <v>45600</v>
      </c>
      <c r="D73" s="2">
        <v>1</v>
      </c>
      <c r="E73" s="2"/>
      <c r="F73" s="9" t="str">
        <f t="shared" si="6"/>
        <v>UNCOMPLETE</v>
      </c>
      <c r="G73" s="2" t="s">
        <v>17</v>
      </c>
      <c r="H73" s="2">
        <v>9</v>
      </c>
      <c r="I73" s="2"/>
      <c r="J73" s="2" t="s">
        <v>31</v>
      </c>
    </row>
    <row r="74" spans="1:10" x14ac:dyDescent="0.3">
      <c r="A74" s="2">
        <v>73</v>
      </c>
      <c r="B74" s="8" t="s">
        <v>99</v>
      </c>
      <c r="C74" s="10">
        <f t="shared" si="5"/>
        <v>45600</v>
      </c>
      <c r="D74" s="2">
        <v>1</v>
      </c>
      <c r="E74" s="2"/>
      <c r="F74" s="9" t="str">
        <f t="shared" si="6"/>
        <v>UNCOMPLETE</v>
      </c>
      <c r="G74" s="2" t="s">
        <v>17</v>
      </c>
      <c r="H74" s="2">
        <v>9</v>
      </c>
      <c r="I74" s="2"/>
      <c r="J74" s="2" t="s">
        <v>31</v>
      </c>
    </row>
    <row r="75" spans="1:10" x14ac:dyDescent="0.3">
      <c r="A75" s="2">
        <v>74</v>
      </c>
      <c r="B75" s="8" t="s">
        <v>133</v>
      </c>
      <c r="C75" s="10">
        <f t="shared" si="5"/>
        <v>45601</v>
      </c>
      <c r="D75" s="2">
        <v>1</v>
      </c>
      <c r="E75" s="2"/>
      <c r="F75" s="9" t="str">
        <f t="shared" si="6"/>
        <v>UNCOMPLETE</v>
      </c>
      <c r="G75" s="2" t="s">
        <v>17</v>
      </c>
      <c r="H75" s="2">
        <v>10</v>
      </c>
      <c r="I75" s="2"/>
      <c r="J75" s="2" t="s">
        <v>31</v>
      </c>
    </row>
    <row r="76" spans="1:10" x14ac:dyDescent="0.3">
      <c r="A76" s="2">
        <v>75</v>
      </c>
      <c r="B76" s="8" t="s">
        <v>134</v>
      </c>
      <c r="C76" s="10">
        <f t="shared" si="5"/>
        <v>45601</v>
      </c>
      <c r="D76" s="2">
        <v>1</v>
      </c>
      <c r="E76" s="2"/>
      <c r="F76" s="9" t="str">
        <f t="shared" si="6"/>
        <v>UNCOMPLETE</v>
      </c>
      <c r="G76" s="2" t="s">
        <v>17</v>
      </c>
      <c r="H76" s="2">
        <v>10</v>
      </c>
      <c r="I76" s="2"/>
      <c r="J76" s="2" t="s">
        <v>139</v>
      </c>
    </row>
    <row r="77" spans="1:10" x14ac:dyDescent="0.3">
      <c r="A77" s="2">
        <v>76</v>
      </c>
      <c r="B77" s="8" t="s">
        <v>135</v>
      </c>
      <c r="C77" s="10">
        <f t="shared" si="5"/>
        <v>45601</v>
      </c>
      <c r="D77" s="2">
        <v>1</v>
      </c>
      <c r="E77" s="2"/>
      <c r="F77" s="9" t="str">
        <f t="shared" si="6"/>
        <v>UNCOMPLETE</v>
      </c>
      <c r="G77" s="2" t="s">
        <v>17</v>
      </c>
      <c r="H77" s="2">
        <v>10</v>
      </c>
      <c r="I77" s="2"/>
      <c r="J77" s="2" t="s">
        <v>139</v>
      </c>
    </row>
    <row r="78" spans="1:10" x14ac:dyDescent="0.3">
      <c r="A78" s="2">
        <v>77</v>
      </c>
      <c r="B78" s="8" t="s">
        <v>136</v>
      </c>
      <c r="C78" s="10">
        <f t="shared" si="5"/>
        <v>45601</v>
      </c>
      <c r="D78" s="2">
        <v>1</v>
      </c>
      <c r="E78" s="2"/>
      <c r="F78" s="9" t="str">
        <f t="shared" si="6"/>
        <v>UNCOMPLETE</v>
      </c>
      <c r="G78" s="2" t="s">
        <v>17</v>
      </c>
      <c r="H78" s="2">
        <v>10</v>
      </c>
      <c r="I78" s="2"/>
      <c r="J78" s="2" t="s">
        <v>139</v>
      </c>
    </row>
    <row r="79" spans="1:10" x14ac:dyDescent="0.3">
      <c r="A79" s="2">
        <v>78</v>
      </c>
      <c r="B79" s="8" t="s">
        <v>137</v>
      </c>
      <c r="C79" s="10">
        <f t="shared" si="5"/>
        <v>45601</v>
      </c>
      <c r="D79" s="2">
        <v>1</v>
      </c>
      <c r="E79" s="2"/>
      <c r="F79" s="9" t="str">
        <f t="shared" si="6"/>
        <v>UNCOMPLETE</v>
      </c>
      <c r="G79" s="2" t="s">
        <v>17</v>
      </c>
      <c r="H79" s="2">
        <v>10</v>
      </c>
      <c r="I79" s="2"/>
      <c r="J79" s="2" t="s">
        <v>139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566B3-7EA2-4894-A1A3-E3F2D307BDB3}">
  <dimension ref="A1:I51"/>
  <sheetViews>
    <sheetView topLeftCell="B1" zoomScale="85" zoomScaleNormal="85" workbookViewId="0">
      <selection activeCell="I3" sqref="I3"/>
    </sheetView>
  </sheetViews>
  <sheetFormatPr defaultRowHeight="14.4" x14ac:dyDescent="0.3"/>
  <cols>
    <col min="2" max="2" width="64.44140625" customWidth="1"/>
    <col min="3" max="3" width="22" customWidth="1"/>
    <col min="4" max="4" width="18.88671875" customWidth="1"/>
    <col min="5" max="5" width="28.33203125" customWidth="1"/>
    <col min="6" max="6" width="15" customWidth="1"/>
    <col min="7" max="7" width="23.6640625" customWidth="1"/>
    <col min="8" max="8" width="15.109375" customWidth="1"/>
    <col min="9" max="9" width="12.109375" customWidth="1"/>
    <col min="10" max="10" width="15.44140625" customWidth="1"/>
  </cols>
  <sheetData>
    <row r="1" spans="1:9" ht="74.400000000000006" customHeight="1" x14ac:dyDescent="0.3">
      <c r="A1" s="6" t="s">
        <v>0</v>
      </c>
      <c r="B1" s="6" t="s">
        <v>11</v>
      </c>
      <c r="C1" s="6" t="s">
        <v>12</v>
      </c>
      <c r="D1" s="6" t="s">
        <v>46</v>
      </c>
      <c r="E1" s="6" t="s">
        <v>45</v>
      </c>
      <c r="F1" s="6" t="s">
        <v>13</v>
      </c>
      <c r="G1" s="6" t="s">
        <v>14</v>
      </c>
      <c r="H1" s="6" t="s">
        <v>51</v>
      </c>
      <c r="I1" s="15" t="s">
        <v>12</v>
      </c>
    </row>
    <row r="2" spans="1:9" x14ac:dyDescent="0.3">
      <c r="A2" s="2">
        <v>1</v>
      </c>
      <c r="B2" s="14" t="s">
        <v>49</v>
      </c>
      <c r="C2" s="7">
        <f t="shared" ref="C2:C11" si="0">$I$2+H2</f>
        <v>45590</v>
      </c>
      <c r="D2" s="2">
        <v>1</v>
      </c>
      <c r="E2" s="2"/>
      <c r="F2" s="2" t="str">
        <f t="shared" ref="F2:F14" si="1">IF(ISBLANK(E2), "UNCOMPLETE", "COMPLETE")</f>
        <v>UNCOMPLETE</v>
      </c>
      <c r="G2" s="2" t="s">
        <v>17</v>
      </c>
      <c r="H2" s="2">
        <v>0</v>
      </c>
      <c r="I2" s="12">
        <v>45590</v>
      </c>
    </row>
    <row r="3" spans="1:9" x14ac:dyDescent="0.3">
      <c r="A3" s="2">
        <v>2</v>
      </c>
      <c r="B3" s="8" t="s">
        <v>52</v>
      </c>
      <c r="C3" s="7">
        <f t="shared" si="0"/>
        <v>45590</v>
      </c>
      <c r="D3" s="2">
        <v>1</v>
      </c>
      <c r="E3" s="2"/>
      <c r="F3" s="2" t="str">
        <f t="shared" si="1"/>
        <v>UNCOMPLETE</v>
      </c>
      <c r="G3" s="2" t="s">
        <v>17</v>
      </c>
      <c r="H3" s="2">
        <v>0</v>
      </c>
    </row>
    <row r="4" spans="1:9" x14ac:dyDescent="0.3">
      <c r="A4" s="2">
        <v>3</v>
      </c>
      <c r="B4" s="8" t="s">
        <v>53</v>
      </c>
      <c r="C4" s="7">
        <f t="shared" si="0"/>
        <v>45590</v>
      </c>
      <c r="D4" s="2">
        <v>1</v>
      </c>
      <c r="E4" s="2"/>
      <c r="F4" s="2" t="str">
        <f t="shared" si="1"/>
        <v>UNCOMPLETE</v>
      </c>
      <c r="G4" s="2" t="s">
        <v>17</v>
      </c>
      <c r="H4" s="2">
        <v>0</v>
      </c>
    </row>
    <row r="5" spans="1:9" x14ac:dyDescent="0.3">
      <c r="A5" s="2">
        <v>4</v>
      </c>
      <c r="B5" s="14" t="s">
        <v>50</v>
      </c>
      <c r="C5" s="7">
        <f t="shared" si="0"/>
        <v>45590</v>
      </c>
      <c r="D5" s="2">
        <v>1</v>
      </c>
      <c r="E5" s="2"/>
      <c r="F5" s="2" t="str">
        <f t="shared" si="1"/>
        <v>UNCOMPLETE</v>
      </c>
      <c r="G5" s="2" t="s">
        <v>17</v>
      </c>
      <c r="H5" s="2">
        <v>0</v>
      </c>
    </row>
    <row r="6" spans="1:9" x14ac:dyDescent="0.3">
      <c r="A6" s="2">
        <v>5</v>
      </c>
      <c r="B6" s="8" t="s">
        <v>54</v>
      </c>
      <c r="C6" s="7">
        <f t="shared" si="0"/>
        <v>45591</v>
      </c>
      <c r="D6" s="2">
        <v>1</v>
      </c>
      <c r="E6" s="2" t="s">
        <v>47</v>
      </c>
      <c r="F6" s="2" t="str">
        <f t="shared" si="1"/>
        <v>COMPLETE</v>
      </c>
      <c r="G6" s="2" t="s">
        <v>17</v>
      </c>
      <c r="H6" s="2">
        <v>1</v>
      </c>
    </row>
    <row r="7" spans="1:9" x14ac:dyDescent="0.3">
      <c r="A7" s="2">
        <v>6</v>
      </c>
      <c r="B7" s="8" t="s">
        <v>55</v>
      </c>
      <c r="C7" s="7">
        <f t="shared" si="0"/>
        <v>45591</v>
      </c>
      <c r="D7" s="2">
        <v>1</v>
      </c>
      <c r="E7" s="2"/>
      <c r="F7" s="2" t="str">
        <f t="shared" si="1"/>
        <v>UNCOMPLETE</v>
      </c>
      <c r="G7" s="2" t="s">
        <v>17</v>
      </c>
      <c r="H7" s="2">
        <v>1</v>
      </c>
    </row>
    <row r="8" spans="1:9" x14ac:dyDescent="0.3">
      <c r="A8" s="2">
        <v>7</v>
      </c>
      <c r="B8" s="8" t="s">
        <v>56</v>
      </c>
      <c r="C8" s="7">
        <f t="shared" si="0"/>
        <v>45591</v>
      </c>
      <c r="D8" s="2">
        <v>1</v>
      </c>
      <c r="E8" s="2"/>
      <c r="F8" s="2" t="str">
        <f t="shared" si="1"/>
        <v>UNCOMPLETE</v>
      </c>
      <c r="G8" s="2" t="s">
        <v>17</v>
      </c>
      <c r="H8" s="2">
        <v>1</v>
      </c>
    </row>
    <row r="9" spans="1:9" x14ac:dyDescent="0.3">
      <c r="A9" s="2">
        <v>8</v>
      </c>
      <c r="B9" s="8" t="s">
        <v>57</v>
      </c>
      <c r="C9" s="7">
        <f t="shared" si="0"/>
        <v>45591</v>
      </c>
      <c r="D9" s="2">
        <v>1</v>
      </c>
      <c r="E9" s="2"/>
      <c r="F9" s="2" t="str">
        <f t="shared" si="1"/>
        <v>UNCOMPLETE</v>
      </c>
      <c r="G9" s="2" t="s">
        <v>17</v>
      </c>
      <c r="H9" s="2">
        <v>1</v>
      </c>
    </row>
    <row r="10" spans="1:9" x14ac:dyDescent="0.3">
      <c r="A10" s="2">
        <v>9</v>
      </c>
      <c r="B10" s="8" t="s">
        <v>58</v>
      </c>
      <c r="C10" s="7">
        <f t="shared" si="0"/>
        <v>45591</v>
      </c>
      <c r="D10" s="2">
        <v>1</v>
      </c>
      <c r="E10" s="2"/>
      <c r="F10" s="2" t="str">
        <f t="shared" si="1"/>
        <v>UNCOMPLETE</v>
      </c>
      <c r="G10" s="2" t="s">
        <v>17</v>
      </c>
      <c r="H10" s="2">
        <v>1</v>
      </c>
    </row>
    <row r="11" spans="1:9" x14ac:dyDescent="0.3">
      <c r="A11" s="2">
        <v>10</v>
      </c>
      <c r="B11" s="8" t="s">
        <v>60</v>
      </c>
      <c r="C11" s="7">
        <f t="shared" si="0"/>
        <v>45592</v>
      </c>
      <c r="D11" s="2">
        <v>1</v>
      </c>
      <c r="E11" s="2"/>
      <c r="F11" s="2" t="str">
        <f t="shared" si="1"/>
        <v>UNCOMPLETE</v>
      </c>
      <c r="G11" s="2" t="s">
        <v>17</v>
      </c>
      <c r="H11" s="2">
        <v>2</v>
      </c>
    </row>
    <row r="12" spans="1:9" x14ac:dyDescent="0.3">
      <c r="A12" s="2">
        <v>11</v>
      </c>
      <c r="B12" s="8" t="s">
        <v>59</v>
      </c>
      <c r="C12" s="7">
        <f t="shared" ref="C12:C14" si="2">$I$2+H12</f>
        <v>45592</v>
      </c>
      <c r="D12" s="2">
        <v>1</v>
      </c>
      <c r="E12" s="2"/>
      <c r="F12" s="2" t="str">
        <f t="shared" si="1"/>
        <v>UNCOMPLETE</v>
      </c>
      <c r="G12" s="2" t="s">
        <v>17</v>
      </c>
      <c r="H12" s="2">
        <v>2</v>
      </c>
    </row>
    <row r="13" spans="1:9" x14ac:dyDescent="0.3">
      <c r="A13" s="2">
        <v>12</v>
      </c>
      <c r="B13" s="8" t="s">
        <v>61</v>
      </c>
      <c r="C13" s="7">
        <f t="shared" si="2"/>
        <v>45592</v>
      </c>
      <c r="D13" s="2">
        <v>1</v>
      </c>
      <c r="E13" s="2"/>
      <c r="F13" s="2" t="str">
        <f t="shared" si="1"/>
        <v>UNCOMPLETE</v>
      </c>
      <c r="G13" s="2" t="s">
        <v>17</v>
      </c>
      <c r="H13" s="2">
        <v>2</v>
      </c>
    </row>
    <row r="14" spans="1:9" x14ac:dyDescent="0.3">
      <c r="A14" s="2">
        <v>13</v>
      </c>
      <c r="B14" s="8" t="s">
        <v>64</v>
      </c>
      <c r="C14" s="7">
        <f t="shared" si="2"/>
        <v>45593</v>
      </c>
      <c r="D14" s="2">
        <v>2</v>
      </c>
      <c r="E14" s="2"/>
      <c r="F14" s="2" t="str">
        <f t="shared" si="1"/>
        <v>UNCOMPLETE</v>
      </c>
      <c r="G14" s="2" t="s">
        <v>17</v>
      </c>
      <c r="H14" s="2">
        <v>3</v>
      </c>
    </row>
    <row r="15" spans="1:9" x14ac:dyDescent="0.3">
      <c r="A15" s="2">
        <v>14</v>
      </c>
      <c r="B15" s="8"/>
      <c r="C15" s="7"/>
      <c r="D15" s="2"/>
      <c r="E15" s="2"/>
      <c r="F15" s="2"/>
      <c r="G15" s="2"/>
      <c r="H15" s="2"/>
    </row>
    <row r="16" spans="1:9" x14ac:dyDescent="0.3">
      <c r="A16" s="2">
        <v>15</v>
      </c>
      <c r="B16" s="8"/>
      <c r="C16" s="7"/>
      <c r="D16" s="2"/>
      <c r="E16" s="2"/>
      <c r="F16" s="2"/>
      <c r="G16" s="2"/>
      <c r="H16" s="2"/>
    </row>
    <row r="17" spans="1:8" x14ac:dyDescent="0.3">
      <c r="A17" s="2">
        <v>16</v>
      </c>
      <c r="B17" s="8"/>
      <c r="C17" s="7"/>
      <c r="D17" s="2"/>
      <c r="E17" s="2"/>
      <c r="F17" s="2"/>
      <c r="G17" s="2"/>
      <c r="H17" s="2"/>
    </row>
    <row r="18" spans="1:8" x14ac:dyDescent="0.3">
      <c r="A18" s="2">
        <v>17</v>
      </c>
      <c r="B18" s="8"/>
      <c r="C18" s="7"/>
      <c r="D18" s="2"/>
      <c r="E18" s="2"/>
      <c r="F18" s="2"/>
      <c r="G18" s="2"/>
      <c r="H18" s="2"/>
    </row>
    <row r="19" spans="1:8" x14ac:dyDescent="0.3">
      <c r="A19" s="2">
        <v>18</v>
      </c>
      <c r="B19" s="8"/>
      <c r="C19" s="7"/>
      <c r="D19" s="2"/>
      <c r="E19" s="2"/>
      <c r="F19" s="2"/>
      <c r="G19" s="2"/>
      <c r="H19" s="2"/>
    </row>
    <row r="20" spans="1:8" x14ac:dyDescent="0.3">
      <c r="A20" s="2">
        <v>19</v>
      </c>
      <c r="B20" s="8"/>
      <c r="C20" s="7"/>
      <c r="D20" s="2"/>
      <c r="E20" s="2"/>
      <c r="F20" s="2"/>
      <c r="G20" s="2"/>
      <c r="H20" s="2"/>
    </row>
    <row r="21" spans="1:8" x14ac:dyDescent="0.3">
      <c r="A21" s="2">
        <v>20</v>
      </c>
      <c r="B21" s="8"/>
      <c r="C21" s="7"/>
      <c r="D21" s="2"/>
      <c r="E21" s="2"/>
      <c r="F21" s="2"/>
      <c r="G21" s="2"/>
      <c r="H21" s="2"/>
    </row>
    <row r="22" spans="1:8" x14ac:dyDescent="0.3">
      <c r="A22" s="2">
        <v>21</v>
      </c>
      <c r="B22" s="8"/>
      <c r="C22" s="7"/>
      <c r="D22" s="2"/>
      <c r="E22" s="2"/>
      <c r="F22" s="2"/>
      <c r="G22" s="2"/>
      <c r="H22" s="2"/>
    </row>
    <row r="23" spans="1:8" x14ac:dyDescent="0.3">
      <c r="A23" s="2">
        <v>22</v>
      </c>
      <c r="B23" s="8"/>
      <c r="C23" s="7"/>
      <c r="D23" s="2"/>
      <c r="E23" s="2"/>
      <c r="F23" s="2"/>
      <c r="G23" s="2"/>
      <c r="H23" s="2"/>
    </row>
    <row r="24" spans="1:8" x14ac:dyDescent="0.3">
      <c r="A24" s="2">
        <v>23</v>
      </c>
      <c r="B24" s="8"/>
      <c r="C24" s="7"/>
      <c r="D24" s="2"/>
      <c r="E24" s="2"/>
      <c r="F24" s="2"/>
      <c r="G24" s="2"/>
      <c r="H24" s="2"/>
    </row>
    <row r="25" spans="1:8" x14ac:dyDescent="0.3">
      <c r="A25" s="2">
        <v>24</v>
      </c>
      <c r="B25" s="8"/>
      <c r="C25" s="7"/>
      <c r="D25" s="2"/>
      <c r="E25" s="2"/>
      <c r="F25" s="2"/>
      <c r="G25" s="2"/>
      <c r="H25" s="2"/>
    </row>
    <row r="26" spans="1:8" x14ac:dyDescent="0.3">
      <c r="A26" s="2">
        <v>25</v>
      </c>
      <c r="B26" s="8"/>
      <c r="C26" s="7"/>
      <c r="D26" s="2"/>
      <c r="E26" s="2"/>
      <c r="F26" s="2"/>
      <c r="G26" s="2"/>
      <c r="H26" s="2"/>
    </row>
    <row r="27" spans="1:8" x14ac:dyDescent="0.3">
      <c r="A27" s="2">
        <v>26</v>
      </c>
      <c r="B27" s="8"/>
      <c r="C27" s="7"/>
      <c r="D27" s="2"/>
      <c r="E27" s="2"/>
      <c r="F27" s="2"/>
      <c r="G27" s="2"/>
      <c r="H27" s="2"/>
    </row>
    <row r="28" spans="1:8" x14ac:dyDescent="0.3">
      <c r="A28" s="2">
        <v>27</v>
      </c>
      <c r="B28" s="8"/>
      <c r="C28" s="7"/>
      <c r="D28" s="2"/>
      <c r="E28" s="2"/>
      <c r="F28" s="2"/>
      <c r="G28" s="2"/>
      <c r="H28" s="2"/>
    </row>
    <row r="29" spans="1:8" x14ac:dyDescent="0.3">
      <c r="A29" s="2">
        <v>28</v>
      </c>
      <c r="B29" s="8"/>
      <c r="C29" s="13"/>
      <c r="D29" s="2"/>
      <c r="E29" s="2"/>
      <c r="F29" s="2"/>
      <c r="G29" s="2"/>
      <c r="H29" s="2"/>
    </row>
    <row r="30" spans="1:8" x14ac:dyDescent="0.3">
      <c r="A30" s="2">
        <v>29</v>
      </c>
      <c r="B30" s="8"/>
      <c r="C30" s="13"/>
      <c r="D30" s="2"/>
      <c r="E30" s="2"/>
      <c r="F30" s="2"/>
      <c r="G30" s="2"/>
      <c r="H30" s="2"/>
    </row>
    <row r="31" spans="1:8" x14ac:dyDescent="0.3">
      <c r="A31" s="2">
        <v>30</v>
      </c>
      <c r="B31" s="2"/>
      <c r="C31" s="2"/>
      <c r="D31" s="2"/>
      <c r="E31" s="2"/>
      <c r="F31" s="2"/>
      <c r="G31" s="2"/>
      <c r="H31" s="2"/>
    </row>
    <row r="32" spans="1:8" x14ac:dyDescent="0.3">
      <c r="A32" s="2">
        <v>31</v>
      </c>
      <c r="B32" s="8"/>
      <c r="C32" s="2"/>
      <c r="D32" s="2"/>
      <c r="E32" s="2"/>
      <c r="F32" s="2"/>
      <c r="G32" s="2"/>
      <c r="H32" s="2"/>
    </row>
    <row r="33" spans="1:8" x14ac:dyDescent="0.3">
      <c r="A33" s="2">
        <v>32</v>
      </c>
      <c r="B33" s="8"/>
      <c r="C33" s="2"/>
      <c r="D33" s="2"/>
      <c r="E33" s="2"/>
      <c r="F33" s="2"/>
      <c r="G33" s="2"/>
      <c r="H33" s="2"/>
    </row>
    <row r="34" spans="1:8" x14ac:dyDescent="0.3">
      <c r="A34" s="2">
        <v>33</v>
      </c>
      <c r="B34" s="8"/>
      <c r="C34" s="2"/>
      <c r="D34" s="2"/>
      <c r="E34" s="2"/>
      <c r="F34" s="2"/>
      <c r="G34" s="2"/>
      <c r="H34" s="2"/>
    </row>
    <row r="35" spans="1:8" x14ac:dyDescent="0.3">
      <c r="A35" s="2">
        <v>34</v>
      </c>
      <c r="B35" s="8"/>
      <c r="C35" s="2"/>
      <c r="D35" s="2"/>
      <c r="E35" s="2"/>
      <c r="F35" s="2"/>
      <c r="G35" s="2"/>
      <c r="H35" s="2"/>
    </row>
    <row r="36" spans="1:8" x14ac:dyDescent="0.3">
      <c r="A36" s="2">
        <v>35</v>
      </c>
      <c r="B36" s="8"/>
      <c r="C36" s="2"/>
      <c r="D36" s="2"/>
      <c r="E36" s="2"/>
      <c r="F36" s="2"/>
      <c r="G36" s="2"/>
      <c r="H36" s="2"/>
    </row>
    <row r="37" spans="1:8" x14ac:dyDescent="0.3">
      <c r="A37" s="2">
        <v>36</v>
      </c>
      <c r="B37" s="8"/>
      <c r="C37" s="2"/>
      <c r="D37" s="2"/>
      <c r="E37" s="2"/>
      <c r="F37" s="2"/>
      <c r="G37" s="2"/>
      <c r="H37" s="2"/>
    </row>
    <row r="38" spans="1:8" x14ac:dyDescent="0.3">
      <c r="A38" s="2">
        <v>37</v>
      </c>
      <c r="B38" s="8"/>
      <c r="C38" s="2"/>
      <c r="D38" s="2"/>
      <c r="E38" s="2"/>
      <c r="F38" s="2"/>
      <c r="G38" s="2"/>
      <c r="H38" s="2"/>
    </row>
    <row r="39" spans="1:8" x14ac:dyDescent="0.3">
      <c r="A39" s="2">
        <v>38</v>
      </c>
      <c r="B39" s="8"/>
      <c r="C39" s="2"/>
      <c r="D39" s="2"/>
      <c r="E39" s="2"/>
      <c r="F39" s="2"/>
      <c r="G39" s="2"/>
      <c r="H39" s="2"/>
    </row>
    <row r="40" spans="1:8" x14ac:dyDescent="0.3">
      <c r="A40" s="2">
        <v>39</v>
      </c>
      <c r="B40" s="8"/>
      <c r="C40" s="2"/>
      <c r="D40" s="2"/>
      <c r="E40" s="2"/>
      <c r="F40" s="2"/>
      <c r="G40" s="2"/>
      <c r="H40" s="2"/>
    </row>
    <row r="41" spans="1:8" x14ac:dyDescent="0.3">
      <c r="A41" s="2">
        <v>40</v>
      </c>
      <c r="B41" s="8"/>
      <c r="C41" s="2"/>
      <c r="D41" s="2"/>
      <c r="E41" s="2"/>
      <c r="F41" s="2"/>
      <c r="G41" s="2"/>
      <c r="H41" s="2"/>
    </row>
    <row r="42" spans="1:8" x14ac:dyDescent="0.3">
      <c r="A42" s="2">
        <v>41</v>
      </c>
      <c r="B42" s="8"/>
      <c r="C42" s="2"/>
      <c r="D42" s="2"/>
      <c r="E42" s="2"/>
      <c r="F42" s="2"/>
      <c r="G42" s="2"/>
      <c r="H42" s="2"/>
    </row>
    <row r="43" spans="1:8" x14ac:dyDescent="0.3">
      <c r="A43" s="2">
        <v>42</v>
      </c>
      <c r="B43" s="8"/>
      <c r="C43" s="2"/>
      <c r="D43" s="2"/>
      <c r="E43" s="2"/>
      <c r="F43" s="2"/>
      <c r="G43" s="2"/>
      <c r="H43" s="2"/>
    </row>
    <row r="44" spans="1:8" x14ac:dyDescent="0.3">
      <c r="A44" s="2">
        <v>43</v>
      </c>
      <c r="B44" s="8"/>
      <c r="C44" s="2"/>
      <c r="D44" s="2"/>
      <c r="E44" s="2"/>
      <c r="F44" s="2"/>
      <c r="G44" s="2"/>
      <c r="H44" s="2"/>
    </row>
    <row r="45" spans="1:8" x14ac:dyDescent="0.3">
      <c r="A45" s="2">
        <v>44</v>
      </c>
      <c r="B45" s="8"/>
      <c r="C45" s="2"/>
      <c r="D45" s="2"/>
      <c r="E45" s="2"/>
      <c r="F45" s="2"/>
      <c r="G45" s="2"/>
      <c r="H45" s="2"/>
    </row>
    <row r="46" spans="1:8" x14ac:dyDescent="0.3">
      <c r="A46" s="2">
        <v>45</v>
      </c>
      <c r="B46" s="8"/>
      <c r="C46" s="2"/>
      <c r="D46" s="2"/>
      <c r="E46" s="2"/>
      <c r="F46" s="2"/>
      <c r="G46" s="2"/>
      <c r="H46" s="2"/>
    </row>
    <row r="47" spans="1:8" x14ac:dyDescent="0.3">
      <c r="A47" s="2">
        <v>46</v>
      </c>
      <c r="B47" s="8"/>
      <c r="C47" s="2"/>
      <c r="D47" s="2"/>
      <c r="E47" s="2"/>
      <c r="F47" s="2"/>
      <c r="G47" s="2"/>
      <c r="H47" s="2"/>
    </row>
    <row r="48" spans="1:8" x14ac:dyDescent="0.3">
      <c r="A48" s="2">
        <v>47</v>
      </c>
      <c r="B48" s="8"/>
      <c r="C48" s="2"/>
      <c r="D48" s="2"/>
      <c r="E48" s="2"/>
      <c r="F48" s="2"/>
      <c r="G48" s="2"/>
      <c r="H48" s="2"/>
    </row>
    <row r="49" spans="1:8" x14ac:dyDescent="0.3">
      <c r="A49" s="2">
        <v>48</v>
      </c>
      <c r="B49" s="8"/>
      <c r="C49" s="2"/>
      <c r="D49" s="2"/>
      <c r="E49" s="2"/>
      <c r="F49" s="2"/>
      <c r="G49" s="2"/>
      <c r="H49" s="2"/>
    </row>
    <row r="50" spans="1:8" x14ac:dyDescent="0.3">
      <c r="A50" s="2">
        <v>49</v>
      </c>
      <c r="B50" s="8"/>
      <c r="C50" s="2"/>
      <c r="D50" s="2"/>
      <c r="E50" s="2"/>
      <c r="F50" s="2"/>
      <c r="G50" s="2"/>
      <c r="H50" s="2"/>
    </row>
    <row r="51" spans="1:8" x14ac:dyDescent="0.3">
      <c r="A51" s="2">
        <v>50</v>
      </c>
      <c r="B51" s="8"/>
      <c r="C51" s="2"/>
      <c r="D51" s="2"/>
      <c r="E51" s="2"/>
      <c r="F51" s="2"/>
      <c r="G51" s="2"/>
      <c r="H51"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61F8A-0B42-4CEC-A8E5-1054692DD8F7}">
  <dimension ref="A1:I72"/>
  <sheetViews>
    <sheetView topLeftCell="C1" zoomScale="85" zoomScaleNormal="85" workbookViewId="0">
      <selection activeCell="C2" sqref="C2"/>
    </sheetView>
  </sheetViews>
  <sheetFormatPr defaultRowHeight="14.4" x14ac:dyDescent="0.3"/>
  <cols>
    <col min="2" max="2" width="122.33203125" customWidth="1"/>
    <col min="3" max="3" width="22" customWidth="1"/>
    <col min="4" max="4" width="18.88671875" customWidth="1"/>
    <col min="5" max="5" width="28.33203125" customWidth="1"/>
    <col min="6" max="6" width="15" customWidth="1"/>
    <col min="7" max="7" width="23.6640625" customWidth="1"/>
    <col min="8" max="8" width="15.109375" customWidth="1"/>
    <col min="9" max="9" width="12.109375" customWidth="1"/>
    <col min="10" max="10" width="15.44140625" customWidth="1"/>
  </cols>
  <sheetData>
    <row r="1" spans="1:9" ht="74.400000000000006" customHeight="1" x14ac:dyDescent="0.3">
      <c r="A1" s="6" t="s">
        <v>0</v>
      </c>
      <c r="B1" s="6" t="s">
        <v>11</v>
      </c>
      <c r="C1" s="6" t="s">
        <v>12</v>
      </c>
      <c r="D1" s="6" t="s">
        <v>46</v>
      </c>
      <c r="E1" s="6" t="s">
        <v>45</v>
      </c>
      <c r="F1" s="6" t="s">
        <v>13</v>
      </c>
      <c r="G1" s="6" t="s">
        <v>14</v>
      </c>
      <c r="H1" s="6" t="s">
        <v>51</v>
      </c>
      <c r="I1" s="15" t="s">
        <v>12</v>
      </c>
    </row>
    <row r="2" spans="1:9" x14ac:dyDescent="0.3">
      <c r="A2" s="2">
        <v>1</v>
      </c>
      <c r="B2" s="14" t="s">
        <v>143</v>
      </c>
      <c r="C2" s="7">
        <f t="shared" ref="C2:C50" si="0">$I$2+H2</f>
        <v>45590</v>
      </c>
      <c r="D2" s="2">
        <v>1</v>
      </c>
      <c r="E2" s="2"/>
      <c r="F2" s="2" t="str">
        <f t="shared" ref="F2:F50" si="1">IF(ISBLANK(E2), "UNCOMPLETE", "COMPLETE")</f>
        <v>UNCOMPLETE</v>
      </c>
      <c r="G2" s="2" t="s">
        <v>17</v>
      </c>
      <c r="H2" s="2">
        <v>0</v>
      </c>
      <c r="I2" s="12">
        <v>45590</v>
      </c>
    </row>
    <row r="3" spans="1:9" x14ac:dyDescent="0.3">
      <c r="A3" s="2">
        <v>2</v>
      </c>
      <c r="B3" s="14" t="s">
        <v>144</v>
      </c>
      <c r="C3" s="7">
        <f t="shared" si="0"/>
        <v>45590</v>
      </c>
      <c r="D3" s="2">
        <v>1</v>
      </c>
      <c r="E3" s="2"/>
      <c r="F3" s="2" t="str">
        <f t="shared" si="1"/>
        <v>UNCOMPLETE</v>
      </c>
      <c r="G3" s="2"/>
      <c r="H3" s="2">
        <v>0</v>
      </c>
      <c r="I3" s="12"/>
    </row>
    <row r="4" spans="1:9" x14ac:dyDescent="0.3">
      <c r="A4" s="2">
        <v>3</v>
      </c>
      <c r="B4" s="14" t="s">
        <v>146</v>
      </c>
      <c r="C4" s="7">
        <f t="shared" si="0"/>
        <v>45590</v>
      </c>
      <c r="D4" s="2">
        <v>1</v>
      </c>
      <c r="E4" s="2"/>
      <c r="F4" s="2" t="str">
        <f t="shared" si="1"/>
        <v>UNCOMPLETE</v>
      </c>
      <c r="G4" s="2" t="s">
        <v>17</v>
      </c>
      <c r="H4" s="2">
        <v>0</v>
      </c>
    </row>
    <row r="5" spans="1:9" x14ac:dyDescent="0.3">
      <c r="A5" s="2">
        <v>4</v>
      </c>
      <c r="B5" s="8" t="s">
        <v>147</v>
      </c>
      <c r="C5" s="7">
        <f t="shared" si="0"/>
        <v>45590</v>
      </c>
      <c r="D5" s="2">
        <v>1</v>
      </c>
      <c r="E5" s="2"/>
      <c r="F5" s="2" t="str">
        <f t="shared" si="1"/>
        <v>UNCOMPLETE</v>
      </c>
      <c r="G5" s="2"/>
      <c r="H5" s="2">
        <v>0</v>
      </c>
    </row>
    <row r="6" spans="1:9" x14ac:dyDescent="0.3">
      <c r="A6" s="2">
        <v>5</v>
      </c>
      <c r="B6" s="8" t="s">
        <v>145</v>
      </c>
      <c r="C6" s="7">
        <f t="shared" si="0"/>
        <v>45590</v>
      </c>
      <c r="D6" s="2">
        <v>1</v>
      </c>
      <c r="E6" s="2"/>
      <c r="F6" s="2" t="str">
        <f t="shared" si="1"/>
        <v>UNCOMPLETE</v>
      </c>
      <c r="G6" s="2"/>
      <c r="H6" s="2">
        <v>0</v>
      </c>
    </row>
    <row r="7" spans="1:9" x14ac:dyDescent="0.3">
      <c r="A7" s="2">
        <v>6</v>
      </c>
      <c r="B7" s="14" t="s">
        <v>148</v>
      </c>
      <c r="C7" s="7">
        <f t="shared" si="0"/>
        <v>45590</v>
      </c>
      <c r="D7" s="2">
        <v>1</v>
      </c>
      <c r="E7" s="2"/>
      <c r="F7" s="2" t="str">
        <f t="shared" si="1"/>
        <v>UNCOMPLETE</v>
      </c>
      <c r="G7" s="2" t="s">
        <v>17</v>
      </c>
      <c r="H7" s="2">
        <v>0</v>
      </c>
    </row>
    <row r="8" spans="1:9" x14ac:dyDescent="0.3">
      <c r="A8" s="2">
        <v>7</v>
      </c>
      <c r="B8" s="14" t="s">
        <v>149</v>
      </c>
      <c r="C8" s="7">
        <f t="shared" si="0"/>
        <v>45590</v>
      </c>
      <c r="D8" s="2">
        <v>1</v>
      </c>
      <c r="E8" s="2"/>
      <c r="F8" s="2" t="str">
        <f t="shared" si="1"/>
        <v>UNCOMPLETE</v>
      </c>
      <c r="G8" s="2" t="s">
        <v>17</v>
      </c>
      <c r="H8" s="2">
        <v>0</v>
      </c>
    </row>
    <row r="9" spans="1:9" x14ac:dyDescent="0.3">
      <c r="A9" s="2">
        <v>8</v>
      </c>
      <c r="B9" s="14" t="s">
        <v>150</v>
      </c>
      <c r="C9" s="7">
        <f t="shared" si="0"/>
        <v>45590</v>
      </c>
      <c r="D9" s="2">
        <v>1</v>
      </c>
      <c r="E9" s="2"/>
      <c r="F9" s="2" t="str">
        <f t="shared" si="1"/>
        <v>UNCOMPLETE</v>
      </c>
      <c r="G9" s="2" t="s">
        <v>17</v>
      </c>
      <c r="H9" s="2">
        <v>0</v>
      </c>
    </row>
    <row r="10" spans="1:9" x14ac:dyDescent="0.3">
      <c r="A10" s="2">
        <v>9</v>
      </c>
      <c r="B10" s="14" t="s">
        <v>151</v>
      </c>
      <c r="C10" s="7">
        <f t="shared" si="0"/>
        <v>45591</v>
      </c>
      <c r="D10" s="2">
        <v>1</v>
      </c>
      <c r="E10" s="2"/>
      <c r="F10" s="2" t="str">
        <f t="shared" si="1"/>
        <v>UNCOMPLETE</v>
      </c>
      <c r="G10" s="2" t="s">
        <v>17</v>
      </c>
      <c r="H10" s="2">
        <v>1</v>
      </c>
    </row>
    <row r="11" spans="1:9" x14ac:dyDescent="0.3">
      <c r="A11" s="2">
        <v>10</v>
      </c>
      <c r="B11" s="14" t="s">
        <v>152</v>
      </c>
      <c r="C11" s="7">
        <f t="shared" si="0"/>
        <v>45591</v>
      </c>
      <c r="D11" s="2">
        <v>1</v>
      </c>
      <c r="E11" s="2"/>
      <c r="F11" s="2" t="str">
        <f t="shared" si="1"/>
        <v>UNCOMPLETE</v>
      </c>
      <c r="G11" s="2" t="s">
        <v>17</v>
      </c>
      <c r="H11" s="2">
        <v>1</v>
      </c>
    </row>
    <row r="12" spans="1:9" x14ac:dyDescent="0.3">
      <c r="A12" s="2">
        <v>11</v>
      </c>
      <c r="B12" s="14" t="s">
        <v>153</v>
      </c>
      <c r="C12" s="7">
        <f t="shared" si="0"/>
        <v>45591</v>
      </c>
      <c r="D12" s="2">
        <v>1</v>
      </c>
      <c r="E12" s="2"/>
      <c r="F12" s="2" t="str">
        <f t="shared" si="1"/>
        <v>UNCOMPLETE</v>
      </c>
      <c r="G12" s="2" t="s">
        <v>17</v>
      </c>
      <c r="H12" s="2">
        <v>1</v>
      </c>
    </row>
    <row r="13" spans="1:9" x14ac:dyDescent="0.3">
      <c r="A13" s="2">
        <v>12</v>
      </c>
      <c r="B13" s="14" t="s">
        <v>100</v>
      </c>
      <c r="C13" s="7">
        <f t="shared" si="0"/>
        <v>45592</v>
      </c>
      <c r="D13" s="2">
        <v>1</v>
      </c>
      <c r="E13" s="2"/>
      <c r="F13" s="2" t="str">
        <f t="shared" si="1"/>
        <v>UNCOMPLETE</v>
      </c>
      <c r="G13" s="2" t="s">
        <v>17</v>
      </c>
      <c r="H13" s="2">
        <v>2</v>
      </c>
    </row>
    <row r="14" spans="1:9" x14ac:dyDescent="0.3">
      <c r="A14" s="2">
        <v>13</v>
      </c>
      <c r="B14" s="14" t="s">
        <v>101</v>
      </c>
      <c r="C14" s="7">
        <f t="shared" si="0"/>
        <v>45592</v>
      </c>
      <c r="D14" s="2">
        <v>1</v>
      </c>
      <c r="E14" s="2"/>
      <c r="F14" s="2" t="str">
        <f t="shared" si="1"/>
        <v>UNCOMPLETE</v>
      </c>
      <c r="G14" s="2" t="s">
        <v>17</v>
      </c>
      <c r="H14" s="2">
        <v>2</v>
      </c>
    </row>
    <row r="15" spans="1:9" x14ac:dyDescent="0.3">
      <c r="A15" s="2">
        <v>14</v>
      </c>
      <c r="B15" s="14" t="s">
        <v>102</v>
      </c>
      <c r="C15" s="7">
        <f t="shared" si="0"/>
        <v>45592</v>
      </c>
      <c r="D15" s="2">
        <v>1</v>
      </c>
      <c r="E15" s="2"/>
      <c r="F15" s="2" t="str">
        <f t="shared" si="1"/>
        <v>UNCOMPLETE</v>
      </c>
      <c r="G15" s="2" t="s">
        <v>17</v>
      </c>
      <c r="H15" s="2">
        <v>2</v>
      </c>
    </row>
    <row r="16" spans="1:9" x14ac:dyDescent="0.3">
      <c r="A16" s="2">
        <v>15</v>
      </c>
      <c r="B16" s="14" t="s">
        <v>104</v>
      </c>
      <c r="C16" s="7">
        <f t="shared" si="0"/>
        <v>45592</v>
      </c>
      <c r="D16" s="2">
        <v>1</v>
      </c>
      <c r="E16" s="2"/>
      <c r="F16" s="2" t="str">
        <f t="shared" si="1"/>
        <v>UNCOMPLETE</v>
      </c>
      <c r="G16" s="2" t="s">
        <v>17</v>
      </c>
      <c r="H16" s="2">
        <v>2</v>
      </c>
    </row>
    <row r="17" spans="1:8" x14ac:dyDescent="0.3">
      <c r="A17" s="2">
        <v>16</v>
      </c>
      <c r="B17" s="14" t="s">
        <v>103</v>
      </c>
      <c r="C17" s="7">
        <f t="shared" si="0"/>
        <v>45592</v>
      </c>
      <c r="D17" s="2">
        <v>1</v>
      </c>
      <c r="E17" s="2"/>
      <c r="F17" s="2" t="str">
        <f t="shared" si="1"/>
        <v>UNCOMPLETE</v>
      </c>
      <c r="G17" s="2" t="s">
        <v>17</v>
      </c>
      <c r="H17" s="2">
        <v>2</v>
      </c>
    </row>
    <row r="18" spans="1:8" x14ac:dyDescent="0.3">
      <c r="A18" s="2">
        <v>17</v>
      </c>
      <c r="B18" s="14" t="s">
        <v>105</v>
      </c>
      <c r="C18" s="7">
        <f t="shared" si="0"/>
        <v>45593</v>
      </c>
      <c r="D18" s="2">
        <v>1</v>
      </c>
      <c r="E18" s="2"/>
      <c r="F18" s="2" t="str">
        <f t="shared" si="1"/>
        <v>UNCOMPLETE</v>
      </c>
      <c r="G18" s="2" t="s">
        <v>17</v>
      </c>
      <c r="H18" s="2">
        <v>3</v>
      </c>
    </row>
    <row r="19" spans="1:8" x14ac:dyDescent="0.3">
      <c r="A19" s="2">
        <v>18</v>
      </c>
      <c r="B19" s="14" t="s">
        <v>106</v>
      </c>
      <c r="C19" s="7">
        <f t="shared" si="0"/>
        <v>45593</v>
      </c>
      <c r="D19" s="2">
        <v>1</v>
      </c>
      <c r="E19" s="2"/>
      <c r="F19" s="2" t="str">
        <f t="shared" si="1"/>
        <v>UNCOMPLETE</v>
      </c>
      <c r="G19" s="2" t="s">
        <v>17</v>
      </c>
      <c r="H19" s="2">
        <v>3</v>
      </c>
    </row>
    <row r="20" spans="1:8" x14ac:dyDescent="0.3">
      <c r="A20" s="2">
        <v>19</v>
      </c>
      <c r="B20" s="14" t="s">
        <v>107</v>
      </c>
      <c r="C20" s="7">
        <f t="shared" si="0"/>
        <v>45594</v>
      </c>
      <c r="D20" s="2">
        <v>1</v>
      </c>
      <c r="E20" s="2"/>
      <c r="F20" s="2" t="str">
        <f t="shared" si="1"/>
        <v>UNCOMPLETE</v>
      </c>
      <c r="G20" s="2" t="s">
        <v>17</v>
      </c>
      <c r="H20" s="2">
        <v>4</v>
      </c>
    </row>
    <row r="21" spans="1:8" x14ac:dyDescent="0.3">
      <c r="A21" s="2">
        <v>20</v>
      </c>
      <c r="B21" s="14" t="s">
        <v>108</v>
      </c>
      <c r="C21" s="7">
        <f t="shared" si="0"/>
        <v>45594</v>
      </c>
      <c r="D21" s="2">
        <v>1</v>
      </c>
      <c r="E21" s="2"/>
      <c r="F21" s="2" t="str">
        <f t="shared" si="1"/>
        <v>UNCOMPLETE</v>
      </c>
      <c r="G21" s="2" t="s">
        <v>17</v>
      </c>
      <c r="H21" s="2">
        <v>4</v>
      </c>
    </row>
    <row r="22" spans="1:8" x14ac:dyDescent="0.3">
      <c r="A22" s="2">
        <v>21</v>
      </c>
      <c r="B22" s="14" t="s">
        <v>109</v>
      </c>
      <c r="C22" s="7">
        <f t="shared" si="0"/>
        <v>45595</v>
      </c>
      <c r="D22" s="2">
        <v>2</v>
      </c>
      <c r="E22" s="2"/>
      <c r="F22" s="2" t="str">
        <f t="shared" si="1"/>
        <v>UNCOMPLETE</v>
      </c>
      <c r="G22" s="2" t="s">
        <v>17</v>
      </c>
      <c r="H22" s="2">
        <v>5</v>
      </c>
    </row>
    <row r="23" spans="1:8" x14ac:dyDescent="0.3">
      <c r="A23" s="2">
        <v>22</v>
      </c>
      <c r="B23" s="14" t="s">
        <v>110</v>
      </c>
      <c r="C23" s="7">
        <f t="shared" si="0"/>
        <v>45597</v>
      </c>
      <c r="D23" s="2">
        <v>2</v>
      </c>
      <c r="E23" s="2"/>
      <c r="F23" s="2" t="str">
        <f t="shared" si="1"/>
        <v>UNCOMPLETE</v>
      </c>
      <c r="G23" s="2" t="s">
        <v>17</v>
      </c>
      <c r="H23" s="2">
        <v>7</v>
      </c>
    </row>
    <row r="24" spans="1:8" x14ac:dyDescent="0.3">
      <c r="A24" s="2">
        <v>23</v>
      </c>
      <c r="B24" s="14" t="s">
        <v>111</v>
      </c>
      <c r="C24" s="7">
        <f t="shared" si="0"/>
        <v>45599</v>
      </c>
      <c r="D24" s="2">
        <v>1</v>
      </c>
      <c r="E24" s="2"/>
      <c r="F24" s="2" t="str">
        <f t="shared" si="1"/>
        <v>UNCOMPLETE</v>
      </c>
      <c r="G24" s="2" t="s">
        <v>17</v>
      </c>
      <c r="H24" s="2">
        <v>9</v>
      </c>
    </row>
    <row r="25" spans="1:8" x14ac:dyDescent="0.3">
      <c r="A25" s="2">
        <v>24</v>
      </c>
      <c r="B25" s="14" t="s">
        <v>112</v>
      </c>
      <c r="C25" s="7">
        <f t="shared" si="0"/>
        <v>45599</v>
      </c>
      <c r="D25" s="2">
        <v>1</v>
      </c>
      <c r="E25" s="2"/>
      <c r="F25" s="2" t="str">
        <f t="shared" si="1"/>
        <v>UNCOMPLETE</v>
      </c>
      <c r="G25" s="2" t="s">
        <v>17</v>
      </c>
      <c r="H25" s="2">
        <v>9</v>
      </c>
    </row>
    <row r="26" spans="1:8" x14ac:dyDescent="0.3">
      <c r="A26" s="2">
        <v>25</v>
      </c>
      <c r="B26" s="14" t="s">
        <v>62</v>
      </c>
      <c r="C26" s="7">
        <f t="shared" si="0"/>
        <v>45599</v>
      </c>
      <c r="D26" s="2">
        <v>1</v>
      </c>
      <c r="E26" s="2"/>
      <c r="F26" s="2" t="str">
        <f t="shared" si="1"/>
        <v>UNCOMPLETE</v>
      </c>
      <c r="G26" s="2" t="s">
        <v>17</v>
      </c>
      <c r="H26" s="2">
        <v>9</v>
      </c>
    </row>
    <row r="27" spans="1:8" x14ac:dyDescent="0.3">
      <c r="A27" s="2">
        <v>26</v>
      </c>
      <c r="B27" s="14" t="s">
        <v>63</v>
      </c>
      <c r="C27" s="7">
        <f t="shared" si="0"/>
        <v>45600</v>
      </c>
      <c r="D27" s="2">
        <v>2</v>
      </c>
      <c r="E27" s="2"/>
      <c r="F27" s="2" t="str">
        <f t="shared" si="1"/>
        <v>UNCOMPLETE</v>
      </c>
      <c r="G27" s="2" t="s">
        <v>17</v>
      </c>
      <c r="H27" s="2">
        <v>10</v>
      </c>
    </row>
    <row r="28" spans="1:8" x14ac:dyDescent="0.3">
      <c r="A28" s="2">
        <v>27</v>
      </c>
      <c r="B28" s="8" t="s">
        <v>56</v>
      </c>
      <c r="C28" s="7">
        <f t="shared" si="0"/>
        <v>45602</v>
      </c>
      <c r="D28" s="2">
        <v>1</v>
      </c>
      <c r="E28" s="2"/>
      <c r="F28" s="2" t="str">
        <f t="shared" si="1"/>
        <v>UNCOMPLETE</v>
      </c>
      <c r="G28" s="2" t="s">
        <v>17</v>
      </c>
      <c r="H28" s="2">
        <v>12</v>
      </c>
    </row>
    <row r="29" spans="1:8" x14ac:dyDescent="0.3">
      <c r="A29" s="2">
        <v>28</v>
      </c>
      <c r="B29" s="14" t="s">
        <v>154</v>
      </c>
      <c r="C29" s="7">
        <f t="shared" si="0"/>
        <v>45603</v>
      </c>
      <c r="D29" s="2">
        <v>1</v>
      </c>
      <c r="E29" s="2"/>
      <c r="F29" s="2" t="str">
        <f t="shared" si="1"/>
        <v>UNCOMPLETE</v>
      </c>
      <c r="G29" s="2" t="s">
        <v>17</v>
      </c>
      <c r="H29" s="2">
        <v>13</v>
      </c>
    </row>
    <row r="30" spans="1:8" x14ac:dyDescent="0.3">
      <c r="A30" s="2">
        <v>29</v>
      </c>
      <c r="B30" s="14" t="s">
        <v>157</v>
      </c>
      <c r="C30" s="7">
        <f t="shared" si="0"/>
        <v>45604</v>
      </c>
      <c r="D30" s="2">
        <v>1</v>
      </c>
      <c r="E30" s="2"/>
      <c r="F30" s="2" t="str">
        <f t="shared" si="1"/>
        <v>UNCOMPLETE</v>
      </c>
      <c r="G30" s="2" t="s">
        <v>17</v>
      </c>
      <c r="H30" s="2">
        <v>14</v>
      </c>
    </row>
    <row r="31" spans="1:8" x14ac:dyDescent="0.3">
      <c r="A31" s="2">
        <v>30</v>
      </c>
      <c r="B31" s="14" t="s">
        <v>159</v>
      </c>
      <c r="C31" s="7">
        <f t="shared" si="0"/>
        <v>45604</v>
      </c>
      <c r="D31" s="2">
        <v>1</v>
      </c>
      <c r="E31" s="2"/>
      <c r="F31" s="2" t="str">
        <f t="shared" si="1"/>
        <v>UNCOMPLETE</v>
      </c>
      <c r="G31" s="2" t="s">
        <v>17</v>
      </c>
      <c r="H31" s="2">
        <v>14</v>
      </c>
    </row>
    <row r="32" spans="1:8" x14ac:dyDescent="0.3">
      <c r="A32" s="2">
        <v>31</v>
      </c>
      <c r="B32" s="14" t="s">
        <v>155</v>
      </c>
      <c r="C32" s="7">
        <f t="shared" si="0"/>
        <v>45605</v>
      </c>
      <c r="D32" s="2">
        <v>1</v>
      </c>
      <c r="E32" s="2"/>
      <c r="F32" s="2" t="str">
        <f t="shared" si="1"/>
        <v>UNCOMPLETE</v>
      </c>
      <c r="G32" s="2" t="s">
        <v>17</v>
      </c>
      <c r="H32" s="2">
        <v>15</v>
      </c>
    </row>
    <row r="33" spans="1:8" x14ac:dyDescent="0.3">
      <c r="A33" s="2">
        <v>32</v>
      </c>
      <c r="B33" s="8" t="s">
        <v>156</v>
      </c>
      <c r="C33" s="7">
        <f t="shared" si="0"/>
        <v>45606</v>
      </c>
      <c r="D33" s="2">
        <v>1</v>
      </c>
      <c r="E33" s="2"/>
      <c r="F33" s="2" t="str">
        <f t="shared" si="1"/>
        <v>UNCOMPLETE</v>
      </c>
      <c r="G33" s="2" t="s">
        <v>17</v>
      </c>
      <c r="H33" s="2">
        <v>16</v>
      </c>
    </row>
    <row r="34" spans="1:8" x14ac:dyDescent="0.3">
      <c r="A34" s="2">
        <v>33</v>
      </c>
      <c r="B34" s="8" t="s">
        <v>160</v>
      </c>
      <c r="C34" s="7">
        <f t="shared" si="0"/>
        <v>45606</v>
      </c>
      <c r="D34" s="2">
        <v>1</v>
      </c>
      <c r="E34" s="2"/>
      <c r="F34" s="2" t="str">
        <f t="shared" si="1"/>
        <v>UNCOMPLETE</v>
      </c>
      <c r="G34" s="2" t="s">
        <v>17</v>
      </c>
      <c r="H34" s="2">
        <v>16</v>
      </c>
    </row>
    <row r="35" spans="1:8" x14ac:dyDescent="0.3">
      <c r="A35" s="2">
        <v>34</v>
      </c>
      <c r="B35" s="8" t="s">
        <v>158</v>
      </c>
      <c r="C35" s="7">
        <f t="shared" si="0"/>
        <v>45607</v>
      </c>
      <c r="D35" s="2">
        <v>1</v>
      </c>
      <c r="E35" s="2"/>
      <c r="F35" s="2" t="str">
        <f t="shared" si="1"/>
        <v>UNCOMPLETE</v>
      </c>
      <c r="G35" s="2" t="s">
        <v>17</v>
      </c>
      <c r="H35" s="2">
        <v>17</v>
      </c>
    </row>
    <row r="36" spans="1:8" x14ac:dyDescent="0.3">
      <c r="A36" s="2">
        <v>35</v>
      </c>
      <c r="B36" s="8" t="s">
        <v>163</v>
      </c>
      <c r="C36" s="7">
        <f t="shared" si="0"/>
        <v>45607</v>
      </c>
      <c r="D36" s="2">
        <v>1</v>
      </c>
      <c r="E36" s="2"/>
      <c r="F36" s="2" t="str">
        <f t="shared" si="1"/>
        <v>UNCOMPLETE</v>
      </c>
      <c r="G36" s="2" t="s">
        <v>17</v>
      </c>
      <c r="H36" s="2">
        <v>17</v>
      </c>
    </row>
    <row r="37" spans="1:8" x14ac:dyDescent="0.3">
      <c r="A37" s="2">
        <v>36</v>
      </c>
      <c r="B37" s="8" t="s">
        <v>164</v>
      </c>
      <c r="C37" s="7">
        <f t="shared" si="0"/>
        <v>45608</v>
      </c>
      <c r="D37" s="2">
        <v>1</v>
      </c>
      <c r="E37" s="2"/>
      <c r="F37" s="2" t="str">
        <f t="shared" si="1"/>
        <v>UNCOMPLETE</v>
      </c>
      <c r="G37" s="2" t="s">
        <v>17</v>
      </c>
      <c r="H37" s="2">
        <v>18</v>
      </c>
    </row>
    <row r="38" spans="1:8" x14ac:dyDescent="0.3">
      <c r="A38" s="2">
        <v>37</v>
      </c>
      <c r="B38" s="8" t="s">
        <v>161</v>
      </c>
      <c r="C38" s="7">
        <f t="shared" si="0"/>
        <v>45608</v>
      </c>
      <c r="D38" s="2">
        <v>1</v>
      </c>
      <c r="E38" s="2"/>
      <c r="F38" s="2" t="str">
        <f t="shared" si="1"/>
        <v>UNCOMPLETE</v>
      </c>
      <c r="G38" s="2" t="s">
        <v>17</v>
      </c>
      <c r="H38" s="2">
        <v>18</v>
      </c>
    </row>
    <row r="39" spans="1:8" x14ac:dyDescent="0.3">
      <c r="A39" s="2">
        <v>38</v>
      </c>
      <c r="B39" s="8" t="s">
        <v>142</v>
      </c>
      <c r="C39" s="7">
        <f t="shared" si="0"/>
        <v>45609</v>
      </c>
      <c r="D39" s="2">
        <v>2</v>
      </c>
      <c r="E39" s="2"/>
      <c r="F39" s="2" t="str">
        <f t="shared" si="1"/>
        <v>UNCOMPLETE</v>
      </c>
      <c r="G39" s="2" t="s">
        <v>17</v>
      </c>
      <c r="H39" s="2">
        <v>19</v>
      </c>
    </row>
    <row r="40" spans="1:8" x14ac:dyDescent="0.3">
      <c r="A40" s="2">
        <v>39</v>
      </c>
      <c r="B40" s="8" t="s">
        <v>162</v>
      </c>
      <c r="C40" s="7">
        <f t="shared" si="0"/>
        <v>45609</v>
      </c>
      <c r="D40" s="2">
        <v>2</v>
      </c>
      <c r="E40" s="2"/>
      <c r="F40" s="2" t="str">
        <f t="shared" si="1"/>
        <v>UNCOMPLETE</v>
      </c>
      <c r="G40" s="2" t="s">
        <v>17</v>
      </c>
      <c r="H40" s="2">
        <v>19</v>
      </c>
    </row>
    <row r="41" spans="1:8" x14ac:dyDescent="0.3">
      <c r="A41" s="2">
        <v>40</v>
      </c>
      <c r="B41" s="8" t="s">
        <v>166</v>
      </c>
      <c r="C41" s="7">
        <f t="shared" si="0"/>
        <v>45610</v>
      </c>
      <c r="D41" s="2">
        <v>1</v>
      </c>
      <c r="E41" s="2"/>
      <c r="F41" s="2" t="str">
        <f t="shared" si="1"/>
        <v>UNCOMPLETE</v>
      </c>
      <c r="G41" s="2" t="s">
        <v>17</v>
      </c>
      <c r="H41" s="2">
        <v>20</v>
      </c>
    </row>
    <row r="42" spans="1:8" x14ac:dyDescent="0.3">
      <c r="A42" s="2">
        <v>41</v>
      </c>
      <c r="B42" s="8" t="s">
        <v>165</v>
      </c>
      <c r="C42" s="7">
        <f t="shared" si="0"/>
        <v>45610</v>
      </c>
      <c r="D42" s="2">
        <v>1</v>
      </c>
      <c r="E42" s="2"/>
      <c r="F42" s="2" t="str">
        <f t="shared" si="1"/>
        <v>UNCOMPLETE</v>
      </c>
      <c r="G42" s="2" t="s">
        <v>17</v>
      </c>
      <c r="H42" s="2">
        <v>20</v>
      </c>
    </row>
    <row r="43" spans="1:8" x14ac:dyDescent="0.3">
      <c r="A43" s="2">
        <v>42</v>
      </c>
      <c r="B43" s="8" t="s">
        <v>167</v>
      </c>
      <c r="C43" s="7">
        <f t="shared" si="0"/>
        <v>45611</v>
      </c>
      <c r="D43" s="2">
        <v>1</v>
      </c>
      <c r="E43" s="2"/>
      <c r="F43" s="2" t="str">
        <f t="shared" si="1"/>
        <v>UNCOMPLETE</v>
      </c>
      <c r="G43" s="2" t="s">
        <v>17</v>
      </c>
      <c r="H43" s="2">
        <v>21</v>
      </c>
    </row>
    <row r="44" spans="1:8" x14ac:dyDescent="0.3">
      <c r="A44" s="2">
        <v>43</v>
      </c>
      <c r="B44" s="8" t="s">
        <v>168</v>
      </c>
      <c r="C44" s="7">
        <f t="shared" si="0"/>
        <v>45612</v>
      </c>
      <c r="D44" s="2">
        <v>1</v>
      </c>
      <c r="E44" s="2"/>
      <c r="F44" s="2" t="str">
        <f t="shared" si="1"/>
        <v>UNCOMPLETE</v>
      </c>
      <c r="G44" s="2" t="s">
        <v>17</v>
      </c>
      <c r="H44" s="2">
        <v>22</v>
      </c>
    </row>
    <row r="45" spans="1:8" x14ac:dyDescent="0.3">
      <c r="A45" s="2">
        <v>44</v>
      </c>
      <c r="B45" s="8" t="s">
        <v>65</v>
      </c>
      <c r="C45" s="7">
        <f t="shared" si="0"/>
        <v>45612</v>
      </c>
      <c r="D45" s="2">
        <v>1</v>
      </c>
      <c r="E45" s="2"/>
      <c r="F45" s="2" t="str">
        <f t="shared" si="1"/>
        <v>UNCOMPLETE</v>
      </c>
      <c r="G45" s="2" t="s">
        <v>17</v>
      </c>
      <c r="H45" s="2">
        <v>22</v>
      </c>
    </row>
    <row r="46" spans="1:8" x14ac:dyDescent="0.3">
      <c r="A46" s="2">
        <v>45</v>
      </c>
      <c r="B46" s="8" t="s">
        <v>66</v>
      </c>
      <c r="C46" s="7">
        <f t="shared" si="0"/>
        <v>45613</v>
      </c>
      <c r="D46" s="2">
        <v>1</v>
      </c>
      <c r="E46" s="2"/>
      <c r="F46" s="2" t="str">
        <f t="shared" si="1"/>
        <v>UNCOMPLETE</v>
      </c>
      <c r="G46" s="2" t="s">
        <v>17</v>
      </c>
      <c r="H46" s="2">
        <v>23</v>
      </c>
    </row>
    <row r="47" spans="1:8" x14ac:dyDescent="0.3">
      <c r="A47" s="2">
        <v>46</v>
      </c>
      <c r="B47" s="8" t="s">
        <v>67</v>
      </c>
      <c r="C47" s="7">
        <f t="shared" si="0"/>
        <v>45613</v>
      </c>
      <c r="D47" s="2">
        <v>1</v>
      </c>
      <c r="E47" s="2"/>
      <c r="F47" s="2" t="str">
        <f t="shared" si="1"/>
        <v>UNCOMPLETE</v>
      </c>
      <c r="G47" s="2" t="s">
        <v>17</v>
      </c>
      <c r="H47" s="2">
        <v>23</v>
      </c>
    </row>
    <row r="48" spans="1:8" x14ac:dyDescent="0.3">
      <c r="A48" s="2">
        <v>47</v>
      </c>
      <c r="B48" s="8" t="s">
        <v>68</v>
      </c>
      <c r="C48" s="7">
        <f t="shared" si="0"/>
        <v>45614</v>
      </c>
      <c r="D48" s="2">
        <v>1</v>
      </c>
      <c r="E48" s="2"/>
      <c r="F48" s="2" t="str">
        <f t="shared" si="1"/>
        <v>UNCOMPLETE</v>
      </c>
      <c r="G48" s="2" t="s">
        <v>17</v>
      </c>
      <c r="H48" s="2">
        <v>24</v>
      </c>
    </row>
    <row r="49" spans="1:8" x14ac:dyDescent="0.3">
      <c r="A49" s="2">
        <v>48</v>
      </c>
      <c r="B49" s="8" t="s">
        <v>69</v>
      </c>
      <c r="C49" s="7">
        <f t="shared" si="0"/>
        <v>45614</v>
      </c>
      <c r="D49" s="2">
        <v>1</v>
      </c>
      <c r="E49" s="2"/>
      <c r="F49" s="2" t="str">
        <f t="shared" si="1"/>
        <v>UNCOMPLETE</v>
      </c>
      <c r="G49" s="2" t="s">
        <v>17</v>
      </c>
      <c r="H49" s="2">
        <v>24</v>
      </c>
    </row>
    <row r="50" spans="1:8" x14ac:dyDescent="0.3">
      <c r="A50" s="2">
        <v>49</v>
      </c>
      <c r="B50" s="8" t="s">
        <v>70</v>
      </c>
      <c r="C50" s="7">
        <f t="shared" si="0"/>
        <v>45614</v>
      </c>
      <c r="D50" s="2">
        <v>1</v>
      </c>
      <c r="E50" s="2"/>
      <c r="F50" s="2" t="str">
        <f t="shared" si="1"/>
        <v>UNCOMPLETE</v>
      </c>
      <c r="G50" s="2" t="s">
        <v>17</v>
      </c>
      <c r="H50" s="2">
        <v>24</v>
      </c>
    </row>
    <row r="51" spans="1:8" x14ac:dyDescent="0.3">
      <c r="C51" s="16"/>
    </row>
    <row r="52" spans="1:8" x14ac:dyDescent="0.3">
      <c r="C52" s="16"/>
    </row>
    <row r="53" spans="1:8" x14ac:dyDescent="0.3">
      <c r="C53" s="16"/>
    </row>
    <row r="54" spans="1:8" x14ac:dyDescent="0.3">
      <c r="C54" s="16"/>
    </row>
    <row r="55" spans="1:8" x14ac:dyDescent="0.3">
      <c r="C55" s="16"/>
    </row>
    <row r="56" spans="1:8" x14ac:dyDescent="0.3">
      <c r="B56" s="17"/>
      <c r="C56" s="16"/>
    </row>
    <row r="57" spans="1:8" x14ac:dyDescent="0.3">
      <c r="B57" s="17"/>
      <c r="C57" s="16"/>
    </row>
    <row r="58" spans="1:8" x14ac:dyDescent="0.3">
      <c r="B58" s="17"/>
      <c r="C58" s="16"/>
    </row>
    <row r="59" spans="1:8" x14ac:dyDescent="0.3">
      <c r="B59" s="17"/>
      <c r="C59" s="16"/>
    </row>
    <row r="60" spans="1:8" x14ac:dyDescent="0.3">
      <c r="B60" s="17"/>
      <c r="C60" s="16"/>
    </row>
    <row r="61" spans="1:8" x14ac:dyDescent="0.3">
      <c r="C61" s="16"/>
    </row>
    <row r="62" spans="1:8" x14ac:dyDescent="0.3">
      <c r="B62" s="17"/>
      <c r="C62" s="16"/>
    </row>
    <row r="63" spans="1:8" x14ac:dyDescent="0.3">
      <c r="B63" s="17"/>
      <c r="C63" s="16"/>
    </row>
    <row r="64" spans="1:8" x14ac:dyDescent="0.3">
      <c r="C64" s="16"/>
    </row>
    <row r="65" spans="3:3" x14ac:dyDescent="0.3">
      <c r="C65" s="16"/>
    </row>
    <row r="66" spans="3:3" x14ac:dyDescent="0.3">
      <c r="C66" s="16"/>
    </row>
    <row r="67" spans="3:3" x14ac:dyDescent="0.3">
      <c r="C67" s="16"/>
    </row>
    <row r="68" spans="3:3" x14ac:dyDescent="0.3">
      <c r="C68" s="16"/>
    </row>
    <row r="69" spans="3:3" x14ac:dyDescent="0.3">
      <c r="C69" s="16"/>
    </row>
    <row r="70" spans="3:3" x14ac:dyDescent="0.3">
      <c r="C70" s="16"/>
    </row>
    <row r="71" spans="3:3" x14ac:dyDescent="0.3">
      <c r="C71" s="16"/>
    </row>
    <row r="72" spans="3:3" x14ac:dyDescent="0.3">
      <c r="C72" s="1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EC46-3F0A-4766-BB9E-4A4A1416DF90}">
  <dimension ref="A1:C6"/>
  <sheetViews>
    <sheetView zoomScaleNormal="100" workbookViewId="0">
      <selection activeCell="C10" sqref="C10"/>
    </sheetView>
  </sheetViews>
  <sheetFormatPr defaultRowHeight="14.4" x14ac:dyDescent="0.3"/>
  <cols>
    <col min="1" max="1" width="17.6640625" customWidth="1"/>
    <col min="2" max="2" width="16.5546875" customWidth="1"/>
    <col min="3" max="3" width="17.77734375" customWidth="1"/>
  </cols>
  <sheetData>
    <row r="1" spans="1:3" ht="18" x14ac:dyDescent="0.3">
      <c r="A1" s="3" t="s">
        <v>0</v>
      </c>
      <c r="B1" s="3" t="s">
        <v>15</v>
      </c>
      <c r="C1" s="3" t="s">
        <v>16</v>
      </c>
    </row>
    <row r="2" spans="1:3" x14ac:dyDescent="0.3">
      <c r="A2" s="1">
        <v>1</v>
      </c>
      <c r="B2" s="2" t="s">
        <v>17</v>
      </c>
      <c r="C2" s="2" t="s">
        <v>18</v>
      </c>
    </row>
    <row r="3" spans="1:3" x14ac:dyDescent="0.3">
      <c r="A3" s="1">
        <v>2</v>
      </c>
      <c r="B3" s="2" t="s">
        <v>17</v>
      </c>
      <c r="C3" s="2" t="s">
        <v>19</v>
      </c>
    </row>
    <row r="4" spans="1:3" x14ac:dyDescent="0.3">
      <c r="A4" s="1">
        <v>3</v>
      </c>
      <c r="B4" s="2" t="s">
        <v>17</v>
      </c>
      <c r="C4" s="2" t="s">
        <v>20</v>
      </c>
    </row>
    <row r="5" spans="1:3" x14ac:dyDescent="0.3">
      <c r="A5" s="1">
        <v>4</v>
      </c>
      <c r="B5" s="2" t="s">
        <v>23</v>
      </c>
      <c r="C5" s="2" t="s">
        <v>21</v>
      </c>
    </row>
    <row r="6" spans="1:3" x14ac:dyDescent="0.3">
      <c r="A6" s="1">
        <v>5</v>
      </c>
      <c r="B6" s="2" t="s">
        <v>23</v>
      </c>
      <c r="C6" s="2"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04017-B8D8-4A8B-ACB5-D63F3D1144DB}">
  <dimension ref="A1:B1"/>
  <sheetViews>
    <sheetView workbookViewId="0">
      <selection activeCell="E14" sqref="E14"/>
    </sheetView>
  </sheetViews>
  <sheetFormatPr defaultRowHeight="14.4" x14ac:dyDescent="0.3"/>
  <sheetData>
    <row r="1" spans="1:2" x14ac:dyDescent="0.3">
      <c r="A1" s="4" t="s">
        <v>24</v>
      </c>
      <c r="B1" s="4" t="s">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D094C-1CD5-432E-B109-FC885AD5EE03}">
  <dimension ref="A1:E4"/>
  <sheetViews>
    <sheetView topLeftCell="B1" workbookViewId="0">
      <selection activeCell="E4" sqref="B1:E4"/>
    </sheetView>
  </sheetViews>
  <sheetFormatPr defaultRowHeight="14.4" x14ac:dyDescent="0.3"/>
  <cols>
    <col min="1" max="1" width="6.44140625" customWidth="1"/>
    <col min="2" max="2" width="25.44140625" customWidth="1"/>
    <col min="3" max="3" width="15.44140625" customWidth="1"/>
    <col min="4" max="4" width="16.6640625" customWidth="1"/>
    <col min="5" max="5" width="41.109375" customWidth="1"/>
  </cols>
  <sheetData>
    <row r="1" spans="1:5" ht="21" x14ac:dyDescent="0.3">
      <c r="A1" s="4" t="s">
        <v>37</v>
      </c>
      <c r="B1" s="5" t="s">
        <v>26</v>
      </c>
      <c r="C1" s="5" t="s">
        <v>27</v>
      </c>
      <c r="D1" s="5" t="s">
        <v>28</v>
      </c>
      <c r="E1" s="5" t="s">
        <v>29</v>
      </c>
    </row>
    <row r="2" spans="1:5" x14ac:dyDescent="0.3">
      <c r="A2">
        <v>1</v>
      </c>
      <c r="B2" s="2" t="s">
        <v>30</v>
      </c>
      <c r="C2" s="2" t="s">
        <v>31</v>
      </c>
      <c r="D2" s="2" t="s">
        <v>32</v>
      </c>
      <c r="E2" s="2" t="s">
        <v>38</v>
      </c>
    </row>
    <row r="3" spans="1:5" x14ac:dyDescent="0.3">
      <c r="A3">
        <v>2</v>
      </c>
      <c r="B3" s="2" t="s">
        <v>33</v>
      </c>
      <c r="C3" s="2" t="s">
        <v>34</v>
      </c>
      <c r="D3" s="2" t="s">
        <v>35</v>
      </c>
      <c r="E3" s="2" t="s">
        <v>36</v>
      </c>
    </row>
    <row r="4" spans="1:5" x14ac:dyDescent="0.3">
      <c r="A4">
        <v>3</v>
      </c>
      <c r="B4" s="2" t="s">
        <v>39</v>
      </c>
      <c r="C4" s="2" t="s">
        <v>34</v>
      </c>
      <c r="D4" s="2" t="s">
        <v>40</v>
      </c>
      <c r="E4" s="2" t="s">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F6FF4-AB51-4191-81F4-533B927AC2E1}">
  <dimension ref="A1:C11"/>
  <sheetViews>
    <sheetView workbookViewId="0">
      <selection activeCell="C14" sqref="C14"/>
    </sheetView>
  </sheetViews>
  <sheetFormatPr defaultRowHeight="14.4" x14ac:dyDescent="0.3"/>
  <cols>
    <col min="1" max="1" width="15.44140625" customWidth="1"/>
    <col min="2" max="2" width="13" customWidth="1"/>
    <col min="3" max="3" width="25.44140625" customWidth="1"/>
  </cols>
  <sheetData>
    <row r="1" spans="1:3" ht="21" x14ac:dyDescent="0.3">
      <c r="A1" s="5" t="s">
        <v>42</v>
      </c>
      <c r="B1" s="5" t="s">
        <v>43</v>
      </c>
      <c r="C1" s="5" t="s">
        <v>44</v>
      </c>
    </row>
    <row r="2" spans="1:3" x14ac:dyDescent="0.3">
      <c r="A2" s="2"/>
      <c r="B2" s="2"/>
      <c r="C2" s="2"/>
    </row>
    <row r="3" spans="1:3" x14ac:dyDescent="0.3">
      <c r="A3" s="2"/>
      <c r="B3" s="2"/>
      <c r="C3" s="2"/>
    </row>
    <row r="4" spans="1:3" x14ac:dyDescent="0.3">
      <c r="A4" s="2"/>
      <c r="B4" s="2"/>
      <c r="C4" s="2"/>
    </row>
    <row r="5" spans="1:3" x14ac:dyDescent="0.3">
      <c r="A5" s="2"/>
      <c r="B5" s="2"/>
      <c r="C5" s="2"/>
    </row>
    <row r="6" spans="1:3" x14ac:dyDescent="0.3">
      <c r="A6" s="2"/>
      <c r="B6" s="2"/>
      <c r="C6" s="2"/>
    </row>
    <row r="7" spans="1:3" x14ac:dyDescent="0.3">
      <c r="A7" s="2"/>
      <c r="B7" s="2"/>
      <c r="C7" s="2"/>
    </row>
    <row r="8" spans="1:3" x14ac:dyDescent="0.3">
      <c r="A8" s="2"/>
      <c r="B8" s="2"/>
      <c r="C8" s="2"/>
    </row>
    <row r="9" spans="1:3" x14ac:dyDescent="0.3">
      <c r="A9" s="2"/>
      <c r="B9" s="2"/>
      <c r="C9" s="2"/>
    </row>
    <row r="10" spans="1:3" x14ac:dyDescent="0.3">
      <c r="A10" s="2"/>
      <c r="B10" s="2"/>
      <c r="C10" s="2"/>
    </row>
    <row r="11" spans="1:3" x14ac:dyDescent="0.3">
      <c r="A11" s="2"/>
      <c r="B11" s="2"/>
      <c r="C11"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3F8D8-D719-4B9D-A0B1-6D53C9B6EF75}">
  <dimension ref="A1"/>
  <sheetViews>
    <sheetView workbookViewId="0">
      <selection activeCell="C22" sqref="C22"/>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482B8-0D6B-4E1E-A984-0AE212C49F2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Frontend-Planning</vt:lpstr>
      <vt:lpstr>Database-Planning</vt:lpstr>
      <vt:lpstr>Backend-Planning</vt:lpstr>
      <vt:lpstr>Project-Team</vt:lpstr>
      <vt:lpstr>Project-Budgets</vt:lpstr>
      <vt:lpstr>Project-Risks</vt:lpstr>
      <vt:lpstr>Project-Deliverables</vt:lpstr>
      <vt:lpstr>Communication-Plan</vt:lpstr>
      <vt:lpstr>Project 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Quốc Đạt</dc:creator>
  <cp:lastModifiedBy>Nguyễn Quốc Đạt</cp:lastModifiedBy>
  <dcterms:created xsi:type="dcterms:W3CDTF">2024-10-15T09:08:00Z</dcterms:created>
  <dcterms:modified xsi:type="dcterms:W3CDTF">2024-10-28T20:24:41Z</dcterms:modified>
</cp:coreProperties>
</file>